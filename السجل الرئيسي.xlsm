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ttendance-schedule\سجل الحضور\"/>
    </mc:Choice>
  </mc:AlternateContent>
  <bookViews>
    <workbookView xWindow="-120" yWindow="-120" windowWidth="23256" windowHeight="13176" activeTab="6"/>
  </bookViews>
  <sheets>
    <sheet name="الشهر 1" sheetId="18" r:id="rId1"/>
    <sheet name="الشهر 2" sheetId="17" r:id="rId2"/>
    <sheet name="الشهر 3" sheetId="16" r:id="rId3"/>
    <sheet name="الشهر 4" sheetId="15" r:id="rId4"/>
    <sheet name="الشهر 5" sheetId="14" r:id="rId5"/>
    <sheet name="الشهر 6" sheetId="1" r:id="rId6"/>
    <sheet name="الشهر 7" sheetId="19" r:id="rId7"/>
    <sheet name="الشهر 8" sheetId="20" r:id="rId8"/>
    <sheet name="الشهر 9" sheetId="21" r:id="rId9"/>
    <sheet name="الشهر 10" sheetId="22" r:id="rId10"/>
    <sheet name="الشهر 11" sheetId="23" r:id="rId11"/>
    <sheet name="الشهر 12" sheetId="24" r:id="rId12"/>
  </sheets>
  <definedNames>
    <definedName name="_xlnm.Print_Titles" localSheetId="5">'الشهر 6'!$1:$3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5" i="19" l="1"/>
  <c r="AL6" i="19"/>
  <c r="AL7" i="19"/>
  <c r="AL8" i="19"/>
  <c r="AL9" i="19"/>
  <c r="AL10" i="19"/>
  <c r="AL11" i="19"/>
  <c r="AL12" i="19"/>
  <c r="AL13" i="19"/>
  <c r="AL14" i="19"/>
  <c r="AL15" i="19"/>
  <c r="AL16" i="19"/>
  <c r="AL17" i="19"/>
  <c r="AL18" i="19"/>
  <c r="AL19" i="19"/>
  <c r="AL20" i="19"/>
  <c r="AL21" i="19"/>
  <c r="AL22" i="19"/>
  <c r="AL23" i="19"/>
  <c r="AL24" i="19"/>
  <c r="AL25" i="19"/>
  <c r="AL26" i="19"/>
  <c r="AL27" i="19"/>
  <c r="AL28" i="19"/>
  <c r="AL29" i="19"/>
  <c r="AL30" i="19"/>
  <c r="AL31" i="19"/>
  <c r="AL32" i="19"/>
  <c r="AL33" i="19"/>
  <c r="AL34" i="19"/>
  <c r="AL35" i="19"/>
  <c r="AL36" i="19"/>
  <c r="AL37" i="19"/>
  <c r="AL38" i="19"/>
  <c r="AL39" i="19"/>
  <c r="AL40" i="19"/>
  <c r="AL41" i="19"/>
  <c r="AL42" i="19"/>
  <c r="AL43" i="19"/>
  <c r="AL44" i="19"/>
  <c r="AL45" i="19"/>
  <c r="AL46" i="19"/>
  <c r="AL47" i="19"/>
  <c r="AL48" i="19"/>
  <c r="AL49" i="19"/>
  <c r="AL50" i="19"/>
  <c r="AL51" i="19"/>
  <c r="AL52" i="19"/>
  <c r="AL53" i="19"/>
  <c r="AL54" i="19"/>
  <c r="AL55" i="19"/>
  <c r="AL56" i="19"/>
  <c r="AL57" i="19"/>
  <c r="AL58" i="19"/>
  <c r="AL59" i="19"/>
  <c r="AL60" i="19"/>
  <c r="AL61" i="19"/>
  <c r="AL62" i="19"/>
  <c r="AL63" i="19"/>
  <c r="AL64" i="19"/>
  <c r="AL65" i="19"/>
  <c r="AL66" i="19"/>
  <c r="AL67" i="19"/>
  <c r="AL68" i="19"/>
  <c r="AL69" i="19"/>
  <c r="AL70" i="19"/>
  <c r="AL71" i="19"/>
  <c r="AL72" i="19"/>
  <c r="AL73" i="19"/>
  <c r="AL74" i="19"/>
  <c r="AL75" i="19"/>
  <c r="AL76" i="19"/>
  <c r="AL77" i="19"/>
  <c r="AL78" i="19"/>
  <c r="AL79" i="19"/>
  <c r="AL80" i="19"/>
  <c r="AL81" i="19"/>
  <c r="AL82" i="19"/>
  <c r="AL83" i="19"/>
  <c r="AL84" i="19"/>
  <c r="AL85" i="19"/>
  <c r="AL86" i="19"/>
  <c r="AL87" i="19"/>
  <c r="AL4" i="19"/>
  <c r="AK4" i="19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4" i="1"/>
  <c r="AM83" i="19" l="1"/>
  <c r="AM84" i="19"/>
  <c r="AM85" i="19"/>
  <c r="AM86" i="19"/>
  <c r="AM87" i="19"/>
  <c r="AM81" i="19" l="1"/>
  <c r="AM82" i="19"/>
  <c r="AL85" i="1" l="1"/>
  <c r="AL86" i="1"/>
  <c r="AL5" i="1" l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R14" i="1" l="1"/>
  <c r="BU55" i="18" l="1"/>
  <c r="BV55" i="18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D3" i="19"/>
  <c r="D2" i="19" s="1"/>
  <c r="E3" i="19"/>
  <c r="F3" i="19"/>
  <c r="F2" i="19" s="1"/>
  <c r="G3" i="19"/>
  <c r="H3" i="19"/>
  <c r="H2" i="19" s="1"/>
  <c r="I3" i="19"/>
  <c r="I2" i="19" s="1"/>
  <c r="J3" i="19"/>
  <c r="J2" i="19" s="1"/>
  <c r="K3" i="19"/>
  <c r="K2" i="19" s="1"/>
  <c r="L3" i="19"/>
  <c r="L2" i="19" s="1"/>
  <c r="M3" i="19"/>
  <c r="M2" i="19" s="1"/>
  <c r="N3" i="19"/>
  <c r="N2" i="19" s="1"/>
  <c r="O3" i="19"/>
  <c r="O2" i="19" s="1"/>
  <c r="P3" i="19"/>
  <c r="P2" i="19" s="1"/>
  <c r="Q3" i="19"/>
  <c r="Q2" i="19" s="1"/>
  <c r="R3" i="19"/>
  <c r="R2" i="19" s="1"/>
  <c r="S3" i="19"/>
  <c r="S2" i="19" s="1"/>
  <c r="T3" i="19"/>
  <c r="T2" i="19" s="1"/>
  <c r="U3" i="19"/>
  <c r="U2" i="19" s="1"/>
  <c r="V3" i="19"/>
  <c r="V2" i="19" s="1"/>
  <c r="W3" i="19"/>
  <c r="W2" i="19" s="1"/>
  <c r="X3" i="19"/>
  <c r="X2" i="19" s="1"/>
  <c r="Y3" i="19"/>
  <c r="Y2" i="19" s="1"/>
  <c r="Z3" i="19"/>
  <c r="Z2" i="19" s="1"/>
  <c r="AA3" i="19"/>
  <c r="AA2" i="19" s="1"/>
  <c r="AB3" i="19"/>
  <c r="AB2" i="19" s="1"/>
  <c r="AC3" i="19"/>
  <c r="AC2" i="19" s="1"/>
  <c r="AD3" i="19"/>
  <c r="AD2" i="19" s="1"/>
  <c r="AE3" i="19"/>
  <c r="AE2" i="19" s="1"/>
  <c r="AF3" i="19"/>
  <c r="AF2" i="19" s="1"/>
  <c r="AG3" i="19"/>
  <c r="AG2" i="19" s="1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D3" i="16"/>
  <c r="E3" i="16"/>
  <c r="F3" i="16"/>
  <c r="G3" i="16"/>
  <c r="H3" i="16"/>
  <c r="I3" i="16"/>
  <c r="J3" i="16"/>
  <c r="K3" i="16"/>
  <c r="L3" i="16"/>
  <c r="M3" i="16"/>
  <c r="N3" i="16"/>
  <c r="O3" i="16"/>
  <c r="AJ5" i="16" s="1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L84" i="24"/>
  <c r="AL83" i="24"/>
  <c r="AL82" i="24"/>
  <c r="AL81" i="24"/>
  <c r="AL80" i="24"/>
  <c r="AL79" i="24"/>
  <c r="AL78" i="24"/>
  <c r="AL77" i="24"/>
  <c r="AL76" i="24"/>
  <c r="AL75" i="24"/>
  <c r="AL74" i="24"/>
  <c r="AL73" i="24"/>
  <c r="AL72" i="24"/>
  <c r="AL71" i="24"/>
  <c r="AL70" i="24"/>
  <c r="AL69" i="24"/>
  <c r="AL68" i="24"/>
  <c r="AL67" i="24"/>
  <c r="AL66" i="24"/>
  <c r="AL65" i="24"/>
  <c r="AL64" i="24"/>
  <c r="AL63" i="24"/>
  <c r="AL62" i="24"/>
  <c r="AL61" i="24"/>
  <c r="AL60" i="24"/>
  <c r="AL59" i="24"/>
  <c r="AL58" i="24"/>
  <c r="AL57" i="24"/>
  <c r="AL56" i="24"/>
  <c r="AL55" i="24"/>
  <c r="AL54" i="24"/>
  <c r="AL53" i="24"/>
  <c r="AL52" i="24"/>
  <c r="AL51" i="24"/>
  <c r="AL50" i="24"/>
  <c r="AL49" i="24"/>
  <c r="AL48" i="24"/>
  <c r="AL47" i="24"/>
  <c r="AL46" i="24"/>
  <c r="AL45" i="24"/>
  <c r="AL44" i="24"/>
  <c r="AL43" i="24"/>
  <c r="AL42" i="24"/>
  <c r="AL41" i="24"/>
  <c r="AL40" i="24"/>
  <c r="AL39" i="24"/>
  <c r="AL38" i="24"/>
  <c r="AL37" i="24"/>
  <c r="AL36" i="24"/>
  <c r="AL35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AL19" i="24"/>
  <c r="AL18" i="24"/>
  <c r="AL17" i="24"/>
  <c r="AL16" i="24"/>
  <c r="AL15" i="24"/>
  <c r="AL14" i="24"/>
  <c r="AL13" i="24"/>
  <c r="AL12" i="24"/>
  <c r="AL11" i="24"/>
  <c r="AL10" i="24"/>
  <c r="AL9" i="24"/>
  <c r="AL8" i="24"/>
  <c r="AL7" i="24"/>
  <c r="AL6" i="24"/>
  <c r="AL5" i="24"/>
  <c r="AL4" i="24"/>
  <c r="C3" i="24"/>
  <c r="AK84" i="23"/>
  <c r="AK83" i="23"/>
  <c r="AK82" i="23"/>
  <c r="AK81" i="23"/>
  <c r="AK80" i="23"/>
  <c r="AK79" i="23"/>
  <c r="AK78" i="23"/>
  <c r="AK77" i="23"/>
  <c r="AK76" i="23"/>
  <c r="AK75" i="23"/>
  <c r="AK74" i="23"/>
  <c r="AK73" i="23"/>
  <c r="AK72" i="23"/>
  <c r="AK71" i="23"/>
  <c r="AK70" i="23"/>
  <c r="AK69" i="23"/>
  <c r="AK68" i="23"/>
  <c r="AK67" i="23"/>
  <c r="AK66" i="23"/>
  <c r="AK65" i="23"/>
  <c r="AK64" i="23"/>
  <c r="AK63" i="23"/>
  <c r="AK62" i="23"/>
  <c r="AK61" i="23"/>
  <c r="AK60" i="23"/>
  <c r="AK59" i="23"/>
  <c r="AK58" i="23"/>
  <c r="AK57" i="23"/>
  <c r="AK56" i="23"/>
  <c r="AK55" i="23"/>
  <c r="AK54" i="23"/>
  <c r="AK53" i="23"/>
  <c r="AK52" i="23"/>
  <c r="AK51" i="23"/>
  <c r="AK50" i="23"/>
  <c r="AK49" i="23"/>
  <c r="AK48" i="23"/>
  <c r="AK47" i="23"/>
  <c r="AK46" i="23"/>
  <c r="AK45" i="23"/>
  <c r="AK44" i="23"/>
  <c r="AK43" i="23"/>
  <c r="AK42" i="23"/>
  <c r="AK41" i="23"/>
  <c r="AK40" i="23"/>
  <c r="AK39" i="23"/>
  <c r="AK38" i="23"/>
  <c r="AK37" i="23"/>
  <c r="AK36" i="23"/>
  <c r="AK35" i="23"/>
  <c r="AK34" i="23"/>
  <c r="AK33" i="23"/>
  <c r="AK32" i="23"/>
  <c r="AK31" i="23"/>
  <c r="AK30" i="23"/>
  <c r="AK29" i="23"/>
  <c r="AK28" i="23"/>
  <c r="AK27" i="23"/>
  <c r="AK26" i="23"/>
  <c r="AK25" i="23"/>
  <c r="AK24" i="23"/>
  <c r="AK23" i="23"/>
  <c r="AK22" i="23"/>
  <c r="AK21" i="23"/>
  <c r="AK20" i="23"/>
  <c r="AK19" i="23"/>
  <c r="AK18" i="23"/>
  <c r="AK17" i="23"/>
  <c r="AK16" i="23"/>
  <c r="AK15" i="23"/>
  <c r="AK14" i="23"/>
  <c r="AK13" i="23"/>
  <c r="AK12" i="23"/>
  <c r="AK11" i="23"/>
  <c r="AK10" i="23"/>
  <c r="AK9" i="23"/>
  <c r="AK8" i="23"/>
  <c r="AK7" i="23"/>
  <c r="AK6" i="23"/>
  <c r="AK5" i="23"/>
  <c r="AK4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AL84" i="22"/>
  <c r="AL83" i="22"/>
  <c r="AL82" i="22"/>
  <c r="AL81" i="22"/>
  <c r="AL80" i="22"/>
  <c r="AL79" i="22"/>
  <c r="AL78" i="22"/>
  <c r="AL77" i="22"/>
  <c r="AL76" i="22"/>
  <c r="AL75" i="22"/>
  <c r="AL74" i="22"/>
  <c r="AL73" i="22"/>
  <c r="AL72" i="22"/>
  <c r="AL71" i="22"/>
  <c r="AL70" i="22"/>
  <c r="AL69" i="22"/>
  <c r="AL68" i="22"/>
  <c r="AL67" i="22"/>
  <c r="AL66" i="22"/>
  <c r="AL65" i="22"/>
  <c r="AL64" i="22"/>
  <c r="AL63" i="22"/>
  <c r="AL62" i="22"/>
  <c r="AL61" i="22"/>
  <c r="AL60" i="22"/>
  <c r="AL59" i="22"/>
  <c r="AL58" i="22"/>
  <c r="AL57" i="22"/>
  <c r="AL56" i="22"/>
  <c r="AL55" i="22"/>
  <c r="AL54" i="22"/>
  <c r="AL53" i="22"/>
  <c r="AL52" i="22"/>
  <c r="AL51" i="22"/>
  <c r="AL50" i="22"/>
  <c r="AL49" i="22"/>
  <c r="AL48" i="22"/>
  <c r="AL47" i="22"/>
  <c r="AL46" i="22"/>
  <c r="AL45" i="22"/>
  <c r="AL44" i="22"/>
  <c r="AL43" i="22"/>
  <c r="AL42" i="22"/>
  <c r="AL41" i="22"/>
  <c r="AL40" i="22"/>
  <c r="AL39" i="22"/>
  <c r="AL38" i="22"/>
  <c r="AL37" i="22"/>
  <c r="AL36" i="22"/>
  <c r="AL35" i="22"/>
  <c r="AL34" i="22"/>
  <c r="AL33" i="22"/>
  <c r="AL32" i="22"/>
  <c r="AL31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L9" i="22"/>
  <c r="AL8" i="22"/>
  <c r="AL7" i="22"/>
  <c r="AL6" i="22"/>
  <c r="AL5" i="22"/>
  <c r="AL4" i="22"/>
  <c r="C3" i="22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AI9" i="21" s="1"/>
  <c r="L3" i="21"/>
  <c r="K3" i="21"/>
  <c r="J3" i="21"/>
  <c r="I3" i="21"/>
  <c r="H3" i="21"/>
  <c r="G3" i="21"/>
  <c r="F3" i="21"/>
  <c r="E3" i="21"/>
  <c r="D3" i="21"/>
  <c r="C3" i="21"/>
  <c r="AL84" i="20"/>
  <c r="AL83" i="20"/>
  <c r="AL82" i="20"/>
  <c r="AL81" i="20"/>
  <c r="AL80" i="20"/>
  <c r="AL79" i="20"/>
  <c r="AL78" i="20"/>
  <c r="AL77" i="20"/>
  <c r="AL76" i="20"/>
  <c r="AL75" i="20"/>
  <c r="AL74" i="20"/>
  <c r="AL73" i="20"/>
  <c r="AL72" i="20"/>
  <c r="AL71" i="20"/>
  <c r="AL70" i="20"/>
  <c r="AL69" i="20"/>
  <c r="AL68" i="20"/>
  <c r="AL67" i="20"/>
  <c r="AL66" i="20"/>
  <c r="AL65" i="20"/>
  <c r="AL64" i="20"/>
  <c r="AL63" i="20"/>
  <c r="AL62" i="20"/>
  <c r="AL61" i="20"/>
  <c r="AL60" i="20"/>
  <c r="AL59" i="20"/>
  <c r="AL58" i="20"/>
  <c r="AL57" i="20"/>
  <c r="AL56" i="20"/>
  <c r="AL55" i="20"/>
  <c r="AL54" i="20"/>
  <c r="AL53" i="20"/>
  <c r="AL52" i="20"/>
  <c r="AL51" i="20"/>
  <c r="AL50" i="20"/>
  <c r="AL49" i="20"/>
  <c r="AL48" i="20"/>
  <c r="AL47" i="20"/>
  <c r="AL46" i="20"/>
  <c r="AL45" i="20"/>
  <c r="AL44" i="20"/>
  <c r="AL43" i="20"/>
  <c r="AL42" i="20"/>
  <c r="AL41" i="20"/>
  <c r="AL40" i="20"/>
  <c r="AL39" i="20"/>
  <c r="AL38" i="20"/>
  <c r="AL37" i="20"/>
  <c r="AL36" i="20"/>
  <c r="AL35" i="20"/>
  <c r="AL34" i="20"/>
  <c r="AL33" i="20"/>
  <c r="AL32" i="20"/>
  <c r="AL31" i="20"/>
  <c r="AL30" i="20"/>
  <c r="AL29" i="20"/>
  <c r="AL28" i="20"/>
  <c r="AL27" i="20"/>
  <c r="AL26" i="20"/>
  <c r="AL25" i="20"/>
  <c r="AL24" i="20"/>
  <c r="AL23" i="20"/>
  <c r="AL22" i="20"/>
  <c r="AL21" i="20"/>
  <c r="AL20" i="20"/>
  <c r="AL19" i="20"/>
  <c r="AL18" i="20"/>
  <c r="AL17" i="20"/>
  <c r="AL16" i="20"/>
  <c r="AL15" i="20"/>
  <c r="AL14" i="20"/>
  <c r="AL13" i="20"/>
  <c r="AL12" i="20"/>
  <c r="AL11" i="20"/>
  <c r="AL10" i="20"/>
  <c r="AL9" i="20"/>
  <c r="AL8" i="20"/>
  <c r="AL7" i="20"/>
  <c r="AL6" i="20"/>
  <c r="AL5" i="20"/>
  <c r="AL4" i="20"/>
  <c r="C3" i="20"/>
  <c r="AM80" i="19"/>
  <c r="AM79" i="19"/>
  <c r="AM78" i="19"/>
  <c r="AM77" i="19"/>
  <c r="AM76" i="19"/>
  <c r="AM75" i="19"/>
  <c r="AM74" i="19"/>
  <c r="AM73" i="19"/>
  <c r="AM72" i="19"/>
  <c r="AM71" i="19"/>
  <c r="AM70" i="19"/>
  <c r="AM69" i="19"/>
  <c r="AM68" i="19"/>
  <c r="AM67" i="19"/>
  <c r="AM66" i="19"/>
  <c r="AM65" i="19"/>
  <c r="AM64" i="19"/>
  <c r="AM63" i="19"/>
  <c r="AM62" i="19"/>
  <c r="AM61" i="19"/>
  <c r="AM60" i="19"/>
  <c r="AM59" i="19"/>
  <c r="AM58" i="19"/>
  <c r="AM57" i="19"/>
  <c r="AM56" i="19"/>
  <c r="AM55" i="19"/>
  <c r="AM54" i="19"/>
  <c r="AM53" i="19"/>
  <c r="AM52" i="19"/>
  <c r="AM51" i="19"/>
  <c r="AM50" i="19"/>
  <c r="AM49" i="19"/>
  <c r="AM48" i="19"/>
  <c r="AM47" i="19"/>
  <c r="AM46" i="19"/>
  <c r="AM45" i="19"/>
  <c r="AM44" i="19"/>
  <c r="AM43" i="19"/>
  <c r="AM42" i="19"/>
  <c r="AM41" i="19"/>
  <c r="AM40" i="19"/>
  <c r="AM39" i="19"/>
  <c r="AM38" i="19"/>
  <c r="AM37" i="19"/>
  <c r="AM36" i="19"/>
  <c r="AM35" i="19"/>
  <c r="AM34" i="19"/>
  <c r="AM33" i="19"/>
  <c r="AM32" i="19"/>
  <c r="AM31" i="19"/>
  <c r="AM30" i="19"/>
  <c r="AM29" i="19"/>
  <c r="AM28" i="19"/>
  <c r="AM27" i="19"/>
  <c r="AM26" i="19"/>
  <c r="AM25" i="19"/>
  <c r="AM24" i="19"/>
  <c r="AM23" i="19"/>
  <c r="AM22" i="19"/>
  <c r="AM21" i="19"/>
  <c r="AM20" i="19"/>
  <c r="AM19" i="19"/>
  <c r="AM18" i="19"/>
  <c r="AM17" i="19"/>
  <c r="AM16" i="19"/>
  <c r="AM15" i="19"/>
  <c r="AM14" i="19"/>
  <c r="AM13" i="19"/>
  <c r="AM12" i="19"/>
  <c r="AM11" i="19"/>
  <c r="AM10" i="19"/>
  <c r="AM9" i="19"/>
  <c r="AM8" i="19"/>
  <c r="AM7" i="19"/>
  <c r="AM6" i="19"/>
  <c r="AM5" i="19"/>
  <c r="AM4" i="19"/>
  <c r="C3" i="19"/>
  <c r="AL84" i="18"/>
  <c r="AL83" i="18"/>
  <c r="AL82" i="18"/>
  <c r="AL81" i="18"/>
  <c r="AL80" i="18"/>
  <c r="AL79" i="18"/>
  <c r="AL78" i="18"/>
  <c r="AL77" i="18"/>
  <c r="AL76" i="18"/>
  <c r="AL75" i="18"/>
  <c r="AL74" i="18"/>
  <c r="AL73" i="18"/>
  <c r="AL72" i="18"/>
  <c r="AL71" i="18"/>
  <c r="AL70" i="18"/>
  <c r="AL69" i="18"/>
  <c r="AL68" i="18"/>
  <c r="AL67" i="18"/>
  <c r="AL66" i="18"/>
  <c r="AL65" i="18"/>
  <c r="AL64" i="18"/>
  <c r="AL63" i="18"/>
  <c r="AL62" i="18"/>
  <c r="AL61" i="18"/>
  <c r="AL60" i="18"/>
  <c r="AL59" i="18"/>
  <c r="AL58" i="18"/>
  <c r="AL57" i="18"/>
  <c r="AL56" i="18"/>
  <c r="AL55" i="18"/>
  <c r="AL54" i="18"/>
  <c r="AL53" i="18"/>
  <c r="AL52" i="18"/>
  <c r="AL51" i="18"/>
  <c r="AL50" i="18"/>
  <c r="AL49" i="18"/>
  <c r="AL48" i="18"/>
  <c r="AL4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C3" i="18"/>
  <c r="AK68" i="18" s="1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I7" i="17"/>
  <c r="AI6" i="17"/>
  <c r="AI5" i="17"/>
  <c r="AI4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AL84" i="16"/>
  <c r="AL83" i="16"/>
  <c r="AL82" i="16"/>
  <c r="AL81" i="16"/>
  <c r="AL80" i="16"/>
  <c r="AL79" i="16"/>
  <c r="AL78" i="16"/>
  <c r="AL77" i="16"/>
  <c r="AL76" i="16"/>
  <c r="AL75" i="16"/>
  <c r="AL74" i="16"/>
  <c r="AL73" i="16"/>
  <c r="AL72" i="16"/>
  <c r="AL71" i="16"/>
  <c r="AL70" i="16"/>
  <c r="AL69" i="16"/>
  <c r="AL68" i="16"/>
  <c r="AL67" i="16"/>
  <c r="AL66" i="16"/>
  <c r="AL65" i="16"/>
  <c r="AL64" i="16"/>
  <c r="AL63" i="16"/>
  <c r="AL62" i="16"/>
  <c r="AL61" i="16"/>
  <c r="AL60" i="16"/>
  <c r="AL59" i="16"/>
  <c r="AL58" i="16"/>
  <c r="AL57" i="16"/>
  <c r="AL56" i="16"/>
  <c r="AL55" i="16"/>
  <c r="AL54" i="16"/>
  <c r="AL53" i="16"/>
  <c r="AL52" i="16"/>
  <c r="AL51" i="16"/>
  <c r="AL50" i="16"/>
  <c r="AL49" i="16"/>
  <c r="AL48" i="16"/>
  <c r="AL47" i="16"/>
  <c r="AL46" i="16"/>
  <c r="AL45" i="16"/>
  <c r="AL44" i="16"/>
  <c r="AL43" i="16"/>
  <c r="AL42" i="16"/>
  <c r="AL41" i="16"/>
  <c r="AL40" i="16"/>
  <c r="AL39" i="16"/>
  <c r="AL38" i="16"/>
  <c r="AL37" i="16"/>
  <c r="AL36" i="16"/>
  <c r="AL35" i="16"/>
  <c r="AL34" i="16"/>
  <c r="AL33" i="16"/>
  <c r="AL32" i="16"/>
  <c r="AL31" i="16"/>
  <c r="AL30" i="16"/>
  <c r="AL29" i="16"/>
  <c r="AL28" i="16"/>
  <c r="AL27" i="16"/>
  <c r="AL26" i="16"/>
  <c r="AL25" i="16"/>
  <c r="AL24" i="16"/>
  <c r="AL23" i="16"/>
  <c r="AL22" i="16"/>
  <c r="AL21" i="16"/>
  <c r="AL20" i="16"/>
  <c r="AL19" i="16"/>
  <c r="AL18" i="16"/>
  <c r="AL17" i="16"/>
  <c r="AL16" i="16"/>
  <c r="AL15" i="16"/>
  <c r="AL14" i="16"/>
  <c r="AL13" i="16"/>
  <c r="AL12" i="16"/>
  <c r="AL11" i="16"/>
  <c r="AL10" i="16"/>
  <c r="AL9" i="16"/>
  <c r="AL8" i="16"/>
  <c r="AL7" i="16"/>
  <c r="AL6" i="16"/>
  <c r="AL5" i="16"/>
  <c r="AL4" i="16"/>
  <c r="C3" i="16"/>
  <c r="AK84" i="15"/>
  <c r="AK83" i="15"/>
  <c r="AK82" i="15"/>
  <c r="AK81" i="15"/>
  <c r="AK80" i="15"/>
  <c r="AK79" i="15"/>
  <c r="AK78" i="15"/>
  <c r="AK77" i="15"/>
  <c r="AK76" i="15"/>
  <c r="AK75" i="15"/>
  <c r="AK74" i="15"/>
  <c r="AK73" i="15"/>
  <c r="AK72" i="15"/>
  <c r="AK71" i="15"/>
  <c r="AK70" i="15"/>
  <c r="AK69" i="15"/>
  <c r="AK68" i="15"/>
  <c r="AK67" i="15"/>
  <c r="AK66" i="15"/>
  <c r="AK65" i="15"/>
  <c r="AK64" i="15"/>
  <c r="AK63" i="15"/>
  <c r="AK62" i="15"/>
  <c r="AK61" i="15"/>
  <c r="AK60" i="15"/>
  <c r="AK59" i="15"/>
  <c r="AK58" i="15"/>
  <c r="AK57" i="15"/>
  <c r="AK56" i="15"/>
  <c r="AK55" i="15"/>
  <c r="AK54" i="15"/>
  <c r="AK53" i="15"/>
  <c r="AK52" i="15"/>
  <c r="AK51" i="15"/>
  <c r="AK50" i="15"/>
  <c r="AK49" i="15"/>
  <c r="AK48" i="15"/>
  <c r="AK47" i="15"/>
  <c r="AK46" i="15"/>
  <c r="AK45" i="15"/>
  <c r="AK44" i="15"/>
  <c r="AK43" i="15"/>
  <c r="AK42" i="15"/>
  <c r="AK41" i="15"/>
  <c r="AK40" i="15"/>
  <c r="AK39" i="15"/>
  <c r="AK38" i="15"/>
  <c r="AK37" i="15"/>
  <c r="AK36" i="15"/>
  <c r="AK35" i="15"/>
  <c r="AK34" i="15"/>
  <c r="AK33" i="15"/>
  <c r="AK32" i="15"/>
  <c r="AK31" i="15"/>
  <c r="AK30" i="15"/>
  <c r="AK29" i="15"/>
  <c r="AK28" i="15"/>
  <c r="AK27" i="15"/>
  <c r="AK26" i="15"/>
  <c r="AK25" i="15"/>
  <c r="AK24" i="15"/>
  <c r="AK23" i="15"/>
  <c r="AK22" i="15"/>
  <c r="AK21" i="15"/>
  <c r="AK20" i="15"/>
  <c r="AK19" i="15"/>
  <c r="AK18" i="15"/>
  <c r="AK17" i="15"/>
  <c r="AK16" i="15"/>
  <c r="AK15" i="15"/>
  <c r="AK14" i="15"/>
  <c r="AK13" i="15"/>
  <c r="AK12" i="15"/>
  <c r="AK11" i="15"/>
  <c r="AK10" i="15"/>
  <c r="AK9" i="15"/>
  <c r="AK8" i="15"/>
  <c r="AK7" i="15"/>
  <c r="AK6" i="15"/>
  <c r="AK5" i="15"/>
  <c r="AK4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AI9" i="15" s="1"/>
  <c r="AL84" i="14"/>
  <c r="AL83" i="14"/>
  <c r="AL82" i="14"/>
  <c r="AL81" i="14"/>
  <c r="AL80" i="14"/>
  <c r="AL79" i="14"/>
  <c r="AL78" i="14"/>
  <c r="AL77" i="14"/>
  <c r="AL76" i="14"/>
  <c r="AL75" i="14"/>
  <c r="AL74" i="14"/>
  <c r="AL73" i="14"/>
  <c r="AL72" i="14"/>
  <c r="AL71" i="14"/>
  <c r="AL70" i="14"/>
  <c r="AL69" i="14"/>
  <c r="AL68" i="14"/>
  <c r="AL67" i="14"/>
  <c r="AL66" i="14"/>
  <c r="AL65" i="14"/>
  <c r="AL64" i="14"/>
  <c r="AL63" i="14"/>
  <c r="AL62" i="14"/>
  <c r="AL61" i="14"/>
  <c r="AL60" i="14"/>
  <c r="AL59" i="14"/>
  <c r="AL58" i="14"/>
  <c r="AL57" i="14"/>
  <c r="AL56" i="14"/>
  <c r="AL55" i="14"/>
  <c r="AL54" i="14"/>
  <c r="AL53" i="14"/>
  <c r="AL52" i="14"/>
  <c r="AL51" i="14"/>
  <c r="AL50" i="14"/>
  <c r="AL49" i="14"/>
  <c r="AL48" i="14"/>
  <c r="AL47" i="14"/>
  <c r="AL46" i="14"/>
  <c r="AL45" i="14"/>
  <c r="AL44" i="14"/>
  <c r="AL43" i="14"/>
  <c r="AL42" i="14"/>
  <c r="AL41" i="14"/>
  <c r="AL40" i="14"/>
  <c r="AL39" i="14"/>
  <c r="AL38" i="14"/>
  <c r="AL37" i="14"/>
  <c r="AL36" i="14"/>
  <c r="AL35" i="14"/>
  <c r="AL34" i="14"/>
  <c r="AL33" i="14"/>
  <c r="AL32" i="14"/>
  <c r="AL31" i="14"/>
  <c r="AL30" i="14"/>
  <c r="AL29" i="14"/>
  <c r="AL28" i="14"/>
  <c r="AL27" i="14"/>
  <c r="AL26" i="14"/>
  <c r="AL25" i="14"/>
  <c r="AL24" i="14"/>
  <c r="AL23" i="14"/>
  <c r="AL22" i="14"/>
  <c r="AL21" i="14"/>
  <c r="AL20" i="14"/>
  <c r="AL19" i="14"/>
  <c r="AL18" i="14"/>
  <c r="AL17" i="14"/>
  <c r="AL16" i="14"/>
  <c r="AL15" i="14"/>
  <c r="AL14" i="14"/>
  <c r="AL13" i="14"/>
  <c r="AL12" i="14"/>
  <c r="AL11" i="14"/>
  <c r="AL10" i="14"/>
  <c r="AL9" i="14"/>
  <c r="AL8" i="14"/>
  <c r="AL7" i="14"/>
  <c r="AL6" i="14"/>
  <c r="AL5" i="14"/>
  <c r="AL4" i="14"/>
  <c r="C3" i="14"/>
  <c r="AJ5" i="14" s="1"/>
  <c r="AL4" i="1"/>
  <c r="D3" i="1"/>
  <c r="D2" i="1" s="1"/>
  <c r="E3" i="1"/>
  <c r="E2" i="1" s="1"/>
  <c r="F3" i="1"/>
  <c r="F2" i="1" s="1"/>
  <c r="G3" i="1"/>
  <c r="G2" i="1" s="1"/>
  <c r="H3" i="1"/>
  <c r="H2" i="1" s="1"/>
  <c r="I3" i="1"/>
  <c r="I2" i="1" s="1"/>
  <c r="J3" i="1"/>
  <c r="J2" i="1" s="1"/>
  <c r="K3" i="1"/>
  <c r="K2" i="1" s="1"/>
  <c r="L3" i="1"/>
  <c r="L2" i="1" s="1"/>
  <c r="M3" i="1"/>
  <c r="N3" i="1"/>
  <c r="N2" i="1" s="1"/>
  <c r="O3" i="1"/>
  <c r="O2" i="1" s="1"/>
  <c r="P3" i="1"/>
  <c r="P2" i="1" s="1"/>
  <c r="Q3" i="1"/>
  <c r="Q2" i="1" s="1"/>
  <c r="R3" i="1"/>
  <c r="R2" i="1" s="1"/>
  <c r="S3" i="1"/>
  <c r="S2" i="1" s="1"/>
  <c r="T3" i="1"/>
  <c r="T2" i="1" s="1"/>
  <c r="U3" i="1"/>
  <c r="U2" i="1" s="1"/>
  <c r="V3" i="1"/>
  <c r="V2" i="1" s="1"/>
  <c r="W3" i="1"/>
  <c r="W2" i="1" s="1"/>
  <c r="X3" i="1"/>
  <c r="X2" i="1" s="1"/>
  <c r="Y3" i="1"/>
  <c r="Y2" i="1" s="1"/>
  <c r="Z3" i="1"/>
  <c r="Z2" i="1" s="1"/>
  <c r="AA3" i="1"/>
  <c r="AA2" i="1" s="1"/>
  <c r="AB3" i="1"/>
  <c r="AB2" i="1" s="1"/>
  <c r="AC3" i="1"/>
  <c r="AC2" i="1" s="1"/>
  <c r="AD3" i="1"/>
  <c r="AD2" i="1" s="1"/>
  <c r="AE3" i="1"/>
  <c r="AE2" i="1" s="1"/>
  <c r="AF3" i="1"/>
  <c r="AF2" i="1" s="1"/>
  <c r="C3" i="1"/>
  <c r="C2" i="1" l="1"/>
  <c r="AK5" i="1"/>
  <c r="AK13" i="1"/>
  <c r="AK21" i="1"/>
  <c r="AK29" i="1"/>
  <c r="AK37" i="1"/>
  <c r="AK45" i="1"/>
  <c r="AK53" i="1"/>
  <c r="AK61" i="1"/>
  <c r="AK69" i="1"/>
  <c r="AK77" i="1"/>
  <c r="AK63" i="1"/>
  <c r="AK6" i="1"/>
  <c r="AK14" i="1"/>
  <c r="AK22" i="1"/>
  <c r="AK30" i="1"/>
  <c r="AK38" i="1"/>
  <c r="AK46" i="1"/>
  <c r="AK54" i="1"/>
  <c r="AK62" i="1"/>
  <c r="AK70" i="1"/>
  <c r="AK78" i="1"/>
  <c r="AK86" i="1"/>
  <c r="AK7" i="1"/>
  <c r="AK15" i="1"/>
  <c r="AK39" i="1"/>
  <c r="AK8" i="1"/>
  <c r="AK16" i="1"/>
  <c r="AK24" i="1"/>
  <c r="AK32" i="1"/>
  <c r="AK40" i="1"/>
  <c r="AK48" i="1"/>
  <c r="AK56" i="1"/>
  <c r="AK64" i="1"/>
  <c r="AK72" i="1"/>
  <c r="AK80" i="1"/>
  <c r="AJ4" i="1"/>
  <c r="AK83" i="1"/>
  <c r="AK47" i="1"/>
  <c r="AK9" i="1"/>
  <c r="AK17" i="1"/>
  <c r="AK25" i="1"/>
  <c r="AK33" i="1"/>
  <c r="AK41" i="1"/>
  <c r="AK49" i="1"/>
  <c r="AK57" i="1"/>
  <c r="AK65" i="1"/>
  <c r="AK73" i="1"/>
  <c r="AK81" i="1"/>
  <c r="AK75" i="1"/>
  <c r="AK31" i="1"/>
  <c r="AK79" i="1"/>
  <c r="AK10" i="1"/>
  <c r="AK18" i="1"/>
  <c r="AK26" i="1"/>
  <c r="AK34" i="1"/>
  <c r="AK42" i="1"/>
  <c r="AK50" i="1"/>
  <c r="AK58" i="1"/>
  <c r="AK66" i="1"/>
  <c r="AK74" i="1"/>
  <c r="AK82" i="1"/>
  <c r="AK51" i="1"/>
  <c r="AK67" i="1"/>
  <c r="AK84" i="1"/>
  <c r="AK55" i="1"/>
  <c r="AK11" i="1"/>
  <c r="AK19" i="1"/>
  <c r="AK27" i="1"/>
  <c r="AK35" i="1"/>
  <c r="AK43" i="1"/>
  <c r="AK59" i="1"/>
  <c r="AK85" i="1"/>
  <c r="AK71" i="1"/>
  <c r="AK12" i="1"/>
  <c r="AK20" i="1"/>
  <c r="AK28" i="1"/>
  <c r="AK36" i="1"/>
  <c r="AK44" i="1"/>
  <c r="AK52" i="1"/>
  <c r="AK60" i="1"/>
  <c r="AK68" i="1"/>
  <c r="AK76" i="1"/>
  <c r="AK23" i="1"/>
  <c r="AK4" i="1"/>
  <c r="AK86" i="19"/>
  <c r="AK87" i="19"/>
  <c r="AJ85" i="19"/>
  <c r="AJ86" i="19"/>
  <c r="AJ87" i="19"/>
  <c r="AK83" i="19"/>
  <c r="AJ84" i="19"/>
  <c r="AK84" i="19"/>
  <c r="AK85" i="19"/>
  <c r="G2" i="19"/>
  <c r="C2" i="19"/>
  <c r="E2" i="19"/>
  <c r="AK78" i="19"/>
  <c r="AJ81" i="19"/>
  <c r="AK79" i="19"/>
  <c r="AJ82" i="19"/>
  <c r="AJ83" i="19"/>
  <c r="AK81" i="19"/>
  <c r="AK80" i="19"/>
  <c r="AK82" i="19"/>
  <c r="AK77" i="19"/>
  <c r="M2" i="1"/>
  <c r="AJ85" i="1"/>
  <c r="AJ86" i="1"/>
  <c r="AI83" i="1"/>
  <c r="AI86" i="1"/>
  <c r="AI84" i="1"/>
  <c r="AI85" i="1"/>
  <c r="AJ11" i="1"/>
  <c r="AJ19" i="1"/>
  <c r="AJ27" i="1"/>
  <c r="AJ42" i="1"/>
  <c r="AJ50" i="1"/>
  <c r="AJ58" i="1"/>
  <c r="AJ66" i="1"/>
  <c r="AJ74" i="1"/>
  <c r="AJ82" i="1"/>
  <c r="AI8" i="1"/>
  <c r="AI16" i="1"/>
  <c r="AI24" i="1"/>
  <c r="AI32" i="1"/>
  <c r="AI39" i="1"/>
  <c r="AI47" i="1"/>
  <c r="AI55" i="1"/>
  <c r="AI63" i="1"/>
  <c r="AI79" i="1"/>
  <c r="AI33" i="1"/>
  <c r="AI40" i="1"/>
  <c r="AI48" i="1"/>
  <c r="AI56" i="1"/>
  <c r="AI72" i="1"/>
  <c r="AI49" i="1"/>
  <c r="AI81" i="1"/>
  <c r="AI69" i="1"/>
  <c r="AJ12" i="1"/>
  <c r="AJ20" i="1"/>
  <c r="AJ28" i="1"/>
  <c r="AJ35" i="1"/>
  <c r="AJ43" i="1"/>
  <c r="AJ51" i="1"/>
  <c r="AJ59" i="1"/>
  <c r="AJ67" i="1"/>
  <c r="AJ75" i="1"/>
  <c r="AJ83" i="1"/>
  <c r="AI9" i="1"/>
  <c r="AI17" i="1"/>
  <c r="AI64" i="1"/>
  <c r="AI80" i="1"/>
  <c r="AI65" i="1"/>
  <c r="AI30" i="1"/>
  <c r="AJ5" i="1"/>
  <c r="AJ13" i="1"/>
  <c r="AJ21" i="1"/>
  <c r="AJ29" i="1"/>
  <c r="AJ36" i="1"/>
  <c r="AJ44" i="1"/>
  <c r="AJ52" i="1"/>
  <c r="AJ60" i="1"/>
  <c r="AJ68" i="1"/>
  <c r="AJ76" i="1"/>
  <c r="AJ84" i="1"/>
  <c r="AI10" i="1"/>
  <c r="AI18" i="1"/>
  <c r="AI26" i="1"/>
  <c r="AI34" i="1"/>
  <c r="AI41" i="1"/>
  <c r="AI57" i="1"/>
  <c r="AI82" i="1"/>
  <c r="AI77" i="1"/>
  <c r="AJ6" i="1"/>
  <c r="AJ14" i="1"/>
  <c r="AJ22" i="1"/>
  <c r="AJ30" i="1"/>
  <c r="AJ37" i="1"/>
  <c r="AJ45" i="1"/>
  <c r="AJ53" i="1"/>
  <c r="AJ61" i="1"/>
  <c r="AJ69" i="1"/>
  <c r="AJ77" i="1"/>
  <c r="AI11" i="1"/>
  <c r="AI19" i="1"/>
  <c r="AI27" i="1"/>
  <c r="AI42" i="1"/>
  <c r="AI50" i="1"/>
  <c r="AI58" i="1"/>
  <c r="AI66" i="1"/>
  <c r="AI74" i="1"/>
  <c r="AI53" i="1"/>
  <c r="AJ7" i="1"/>
  <c r="AJ15" i="1"/>
  <c r="AJ23" i="1"/>
  <c r="AJ31" i="1"/>
  <c r="AJ38" i="1"/>
  <c r="AJ46" i="1"/>
  <c r="AJ54" i="1"/>
  <c r="AJ62" i="1"/>
  <c r="AJ70" i="1"/>
  <c r="AJ78" i="1"/>
  <c r="AI12" i="1"/>
  <c r="AI20" i="1"/>
  <c r="AI28" i="1"/>
  <c r="AI35" i="1"/>
  <c r="AI43" i="1"/>
  <c r="AI51" i="1"/>
  <c r="AI59" i="1"/>
  <c r="AI67" i="1"/>
  <c r="AI75" i="1"/>
  <c r="AI60" i="1"/>
  <c r="AI76" i="1"/>
  <c r="AI45" i="1"/>
  <c r="AJ8" i="1"/>
  <c r="AJ16" i="1"/>
  <c r="AJ24" i="1"/>
  <c r="AJ32" i="1"/>
  <c r="AJ39" i="1"/>
  <c r="AJ47" i="1"/>
  <c r="AJ55" i="1"/>
  <c r="AJ63" i="1"/>
  <c r="AJ71" i="1"/>
  <c r="AJ79" i="1"/>
  <c r="AI13" i="1"/>
  <c r="AI21" i="1"/>
  <c r="AI29" i="1"/>
  <c r="AI36" i="1"/>
  <c r="AI44" i="1"/>
  <c r="AI52" i="1"/>
  <c r="AI68" i="1"/>
  <c r="AI22" i="1"/>
  <c r="AI61" i="1"/>
  <c r="AJ9" i="1"/>
  <c r="AJ17" i="1"/>
  <c r="AJ25" i="1"/>
  <c r="AJ33" i="1"/>
  <c r="AJ40" i="1"/>
  <c r="AJ48" i="1"/>
  <c r="AJ56" i="1"/>
  <c r="AJ64" i="1"/>
  <c r="AJ72" i="1"/>
  <c r="AJ80" i="1"/>
  <c r="AI6" i="1"/>
  <c r="AI14" i="1"/>
  <c r="AJ10" i="1"/>
  <c r="AJ18" i="1"/>
  <c r="AJ26" i="1"/>
  <c r="AJ34" i="1"/>
  <c r="AJ41" i="1"/>
  <c r="AJ49" i="1"/>
  <c r="AJ57" i="1"/>
  <c r="AJ65" i="1"/>
  <c r="AJ73" i="1"/>
  <c r="AJ81" i="1"/>
  <c r="AI7" i="1"/>
  <c r="AI15" i="1"/>
  <c r="AI23" i="1"/>
  <c r="AI31" i="1"/>
  <c r="AI38" i="1"/>
  <c r="AI46" i="1"/>
  <c r="AI54" i="1"/>
  <c r="AI62" i="1"/>
  <c r="AI70" i="1"/>
  <c r="AI78" i="1"/>
  <c r="AI71" i="1"/>
  <c r="AI25" i="1"/>
  <c r="AI73" i="1"/>
  <c r="AI37" i="1"/>
  <c r="AI37" i="23"/>
  <c r="AI5" i="23"/>
  <c r="AJ60" i="21"/>
  <c r="AJ17" i="24"/>
  <c r="AH80" i="17"/>
  <c r="AJ37" i="14"/>
  <c r="AJ5" i="18"/>
  <c r="AJ11" i="24"/>
  <c r="AJ25" i="24"/>
  <c r="AK52" i="24"/>
  <c r="AJ9" i="24"/>
  <c r="AJ21" i="24"/>
  <c r="AJ23" i="24"/>
  <c r="AJ81" i="24"/>
  <c r="AJ83" i="24"/>
  <c r="AJ5" i="24"/>
  <c r="AJ36" i="23"/>
  <c r="AJ5" i="22"/>
  <c r="AJ4" i="22"/>
  <c r="AK56" i="22"/>
  <c r="AJ21" i="22"/>
  <c r="AI5" i="21"/>
  <c r="AI65" i="21"/>
  <c r="AJ5" i="20"/>
  <c r="AJ9" i="20"/>
  <c r="AJ57" i="20"/>
  <c r="AK60" i="20"/>
  <c r="AK56" i="19"/>
  <c r="AJ9" i="19"/>
  <c r="AJ21" i="19"/>
  <c r="AJ23" i="19"/>
  <c r="AJ79" i="19"/>
  <c r="AJ5" i="19"/>
  <c r="AJ32" i="19"/>
  <c r="AJ6" i="14"/>
  <c r="AK78" i="14"/>
  <c r="AJ29" i="14"/>
  <c r="AK80" i="14"/>
  <c r="AJ81" i="14"/>
  <c r="AI13" i="15"/>
  <c r="AI5" i="15"/>
  <c r="AI65" i="15"/>
  <c r="AJ80" i="15"/>
  <c r="AK80" i="16"/>
  <c r="AJ13" i="16"/>
  <c r="AK37" i="16"/>
  <c r="AK33" i="16"/>
  <c r="AG77" i="17"/>
  <c r="AG21" i="17"/>
  <c r="AH9" i="17"/>
  <c r="AG13" i="17"/>
  <c r="AG5" i="17"/>
  <c r="AH5" i="17"/>
  <c r="AG9" i="17"/>
  <c r="AG65" i="17"/>
  <c r="AG17" i="17"/>
  <c r="AJ13" i="18"/>
  <c r="AJ53" i="18"/>
  <c r="AK5" i="24"/>
  <c r="AK13" i="24"/>
  <c r="AK21" i="24"/>
  <c r="AK29" i="24"/>
  <c r="AK37" i="24"/>
  <c r="AK45" i="24"/>
  <c r="AK53" i="24"/>
  <c r="AK65" i="24"/>
  <c r="AK77" i="24"/>
  <c r="AJ13" i="24"/>
  <c r="AJ37" i="24"/>
  <c r="AJ45" i="24"/>
  <c r="AJ61" i="24"/>
  <c r="AJ77" i="24"/>
  <c r="AK9" i="24"/>
  <c r="AK17" i="24"/>
  <c r="AK25" i="24"/>
  <c r="AK33" i="24"/>
  <c r="AK41" i="24"/>
  <c r="AK49" i="24"/>
  <c r="AK57" i="24"/>
  <c r="AK61" i="24"/>
  <c r="AK69" i="24"/>
  <c r="AK73" i="24"/>
  <c r="AK81" i="24"/>
  <c r="AJ29" i="24"/>
  <c r="AJ53" i="24"/>
  <c r="AJ69" i="24"/>
  <c r="AJ6" i="24"/>
  <c r="AJ10" i="24"/>
  <c r="AJ14" i="24"/>
  <c r="AJ18" i="24"/>
  <c r="AJ22" i="24"/>
  <c r="AJ26" i="24"/>
  <c r="AJ30" i="24"/>
  <c r="AJ34" i="24"/>
  <c r="AJ38" i="24"/>
  <c r="AJ42" i="24"/>
  <c r="AJ46" i="24"/>
  <c r="AJ50" i="24"/>
  <c r="AJ54" i="24"/>
  <c r="AJ58" i="24"/>
  <c r="AJ62" i="24"/>
  <c r="AJ66" i="24"/>
  <c r="AJ70" i="24"/>
  <c r="AJ74" i="24"/>
  <c r="AJ78" i="24"/>
  <c r="AJ82" i="24"/>
  <c r="AJ33" i="24"/>
  <c r="AJ49" i="24"/>
  <c r="AJ65" i="24"/>
  <c r="AK6" i="24"/>
  <c r="AK14" i="24"/>
  <c r="AK22" i="24"/>
  <c r="AK30" i="24"/>
  <c r="AK34" i="24"/>
  <c r="AK38" i="24"/>
  <c r="AK42" i="24"/>
  <c r="AK46" i="24"/>
  <c r="AK54" i="24"/>
  <c r="AK58" i="24"/>
  <c r="AK62" i="24"/>
  <c r="AK66" i="24"/>
  <c r="AK70" i="24"/>
  <c r="AK74" i="24"/>
  <c r="AK78" i="24"/>
  <c r="AK82" i="24"/>
  <c r="AJ41" i="24"/>
  <c r="AJ57" i="24"/>
  <c r="AJ73" i="24"/>
  <c r="AK10" i="24"/>
  <c r="AK18" i="24"/>
  <c r="AK26" i="24"/>
  <c r="AK50" i="24"/>
  <c r="AJ7" i="24"/>
  <c r="AJ15" i="24"/>
  <c r="AJ27" i="24"/>
  <c r="AJ35" i="24"/>
  <c r="AJ43" i="24"/>
  <c r="AJ51" i="24"/>
  <c r="AJ59" i="24"/>
  <c r="AJ75" i="24"/>
  <c r="AK7" i="24"/>
  <c r="AK11" i="24"/>
  <c r="AK15" i="24"/>
  <c r="AK19" i="24"/>
  <c r="AK23" i="24"/>
  <c r="AK27" i="24"/>
  <c r="AK35" i="24"/>
  <c r="AK39" i="24"/>
  <c r="AK43" i="24"/>
  <c r="AK47" i="24"/>
  <c r="AK51" i="24"/>
  <c r="AK55" i="24"/>
  <c r="AK59" i="24"/>
  <c r="AK63" i="24"/>
  <c r="AK67" i="24"/>
  <c r="AK71" i="24"/>
  <c r="AK75" i="24"/>
  <c r="AK79" i="24"/>
  <c r="AK83" i="24"/>
  <c r="AJ31" i="24"/>
  <c r="AJ39" i="24"/>
  <c r="AJ47" i="24"/>
  <c r="AJ55" i="24"/>
  <c r="AJ63" i="24"/>
  <c r="AJ67" i="24"/>
  <c r="AJ71" i="24"/>
  <c r="AJ79" i="24"/>
  <c r="AK31" i="24"/>
  <c r="AJ19" i="24"/>
  <c r="AJ4" i="24"/>
  <c r="AJ8" i="24"/>
  <c r="AJ12" i="24"/>
  <c r="AJ16" i="24"/>
  <c r="AJ20" i="24"/>
  <c r="AJ24" i="24"/>
  <c r="AJ28" i="24"/>
  <c r="AJ32" i="24"/>
  <c r="AJ36" i="24"/>
  <c r="AJ40" i="24"/>
  <c r="AJ44" i="24"/>
  <c r="AJ48" i="24"/>
  <c r="AJ52" i="24"/>
  <c r="AJ56" i="24"/>
  <c r="AJ60" i="24"/>
  <c r="AJ64" i="24"/>
  <c r="AJ68" i="24"/>
  <c r="AJ72" i="24"/>
  <c r="AJ76" i="24"/>
  <c r="AJ80" i="24"/>
  <c r="AJ84" i="24"/>
  <c r="AK4" i="24"/>
  <c r="AK12" i="24"/>
  <c r="AK16" i="24"/>
  <c r="AK24" i="24"/>
  <c r="AK32" i="24"/>
  <c r="AK36" i="24"/>
  <c r="AK40" i="24"/>
  <c r="AK44" i="24"/>
  <c r="AK48" i="24"/>
  <c r="AK56" i="24"/>
  <c r="AK60" i="24"/>
  <c r="AK64" i="24"/>
  <c r="AK68" i="24"/>
  <c r="AK72" i="24"/>
  <c r="AK76" i="24"/>
  <c r="AK80" i="24"/>
  <c r="AK84" i="24"/>
  <c r="AK8" i="24"/>
  <c r="AK20" i="24"/>
  <c r="AK28" i="24"/>
  <c r="AI9" i="23"/>
  <c r="AI49" i="23"/>
  <c r="AI53" i="23"/>
  <c r="AI57" i="23"/>
  <c r="AI61" i="23"/>
  <c r="AI65" i="23"/>
  <c r="AI69" i="23"/>
  <c r="AI73" i="23"/>
  <c r="AI77" i="23"/>
  <c r="AI81" i="23"/>
  <c r="AJ5" i="23"/>
  <c r="AJ9" i="23"/>
  <c r="AJ13" i="23"/>
  <c r="AJ17" i="23"/>
  <c r="AJ21" i="23"/>
  <c r="AJ25" i="23"/>
  <c r="AJ29" i="23"/>
  <c r="AJ33" i="23"/>
  <c r="AJ37" i="23"/>
  <c r="AJ41" i="23"/>
  <c r="AJ45" i="23"/>
  <c r="AJ49" i="23"/>
  <c r="AJ53" i="23"/>
  <c r="AJ57" i="23"/>
  <c r="AJ61" i="23"/>
  <c r="AJ65" i="23"/>
  <c r="AJ69" i="23"/>
  <c r="AJ73" i="23"/>
  <c r="AJ77" i="23"/>
  <c r="AJ81" i="23"/>
  <c r="AI13" i="23"/>
  <c r="AI6" i="23"/>
  <c r="AI22" i="23"/>
  <c r="AI26" i="23"/>
  <c r="AI30" i="23"/>
  <c r="AI34" i="23"/>
  <c r="AI38" i="23"/>
  <c r="AI42" i="23"/>
  <c r="AI46" i="23"/>
  <c r="AI50" i="23"/>
  <c r="AI54" i="23"/>
  <c r="AI58" i="23"/>
  <c r="AI62" i="23"/>
  <c r="AI66" i="23"/>
  <c r="AI70" i="23"/>
  <c r="AI74" i="23"/>
  <c r="AI78" i="23"/>
  <c r="AI82" i="23"/>
  <c r="AI41" i="23"/>
  <c r="AJ6" i="23"/>
  <c r="AJ14" i="23"/>
  <c r="AJ22" i="23"/>
  <c r="AJ30" i="23"/>
  <c r="AJ34" i="23"/>
  <c r="AJ38" i="23"/>
  <c r="AJ42" i="23"/>
  <c r="AJ46" i="23"/>
  <c r="AJ50" i="23"/>
  <c r="AJ58" i="23"/>
  <c r="AJ62" i="23"/>
  <c r="AJ66" i="23"/>
  <c r="AJ70" i="23"/>
  <c r="AJ74" i="23"/>
  <c r="AJ78" i="23"/>
  <c r="AJ82" i="23"/>
  <c r="AI25" i="23"/>
  <c r="AI18" i="23"/>
  <c r="AJ10" i="23"/>
  <c r="AJ18" i="23"/>
  <c r="AJ26" i="23"/>
  <c r="AJ54" i="23"/>
  <c r="AI17" i="23"/>
  <c r="AI10" i="23"/>
  <c r="AI7" i="23"/>
  <c r="AI11" i="23"/>
  <c r="AI15" i="23"/>
  <c r="AI19" i="23"/>
  <c r="AI23" i="23"/>
  <c r="AI27" i="23"/>
  <c r="AI31" i="23"/>
  <c r="AI35" i="23"/>
  <c r="AI39" i="23"/>
  <c r="AI43" i="23"/>
  <c r="AI47" i="23"/>
  <c r="AI51" i="23"/>
  <c r="AI55" i="23"/>
  <c r="AI59" i="23"/>
  <c r="AI63" i="23"/>
  <c r="AI67" i="23"/>
  <c r="AI71" i="23"/>
  <c r="AI75" i="23"/>
  <c r="AI79" i="23"/>
  <c r="AI83" i="23"/>
  <c r="AI29" i="23"/>
  <c r="AI14" i="23"/>
  <c r="AJ7" i="23"/>
  <c r="AJ11" i="23"/>
  <c r="AJ15" i="23"/>
  <c r="AJ19" i="23"/>
  <c r="AJ23" i="23"/>
  <c r="AJ27" i="23"/>
  <c r="AJ35" i="23"/>
  <c r="AJ39" i="23"/>
  <c r="AJ43" i="23"/>
  <c r="AJ47" i="23"/>
  <c r="AJ51" i="23"/>
  <c r="AJ55" i="23"/>
  <c r="AJ59" i="23"/>
  <c r="AJ63" i="23"/>
  <c r="AJ67" i="23"/>
  <c r="AJ71" i="23"/>
  <c r="AJ75" i="23"/>
  <c r="AJ79" i="23"/>
  <c r="AJ83" i="23"/>
  <c r="AI45" i="23"/>
  <c r="AJ31" i="23"/>
  <c r="AI21" i="23"/>
  <c r="AI4" i="23"/>
  <c r="AI8" i="23"/>
  <c r="AI20" i="23"/>
  <c r="AI24" i="23"/>
  <c r="AI28" i="23"/>
  <c r="AI32" i="23"/>
  <c r="AI36" i="23"/>
  <c r="AI40" i="23"/>
  <c r="AI44" i="23"/>
  <c r="AI48" i="23"/>
  <c r="AI52" i="23"/>
  <c r="AI56" i="23"/>
  <c r="AI60" i="23"/>
  <c r="AI64" i="23"/>
  <c r="AI68" i="23"/>
  <c r="AI72" i="23"/>
  <c r="AI76" i="23"/>
  <c r="AI80" i="23"/>
  <c r="AI84" i="23"/>
  <c r="AI33" i="23"/>
  <c r="AI12" i="23"/>
  <c r="AJ4" i="23"/>
  <c r="AJ12" i="23"/>
  <c r="AJ16" i="23"/>
  <c r="AJ20" i="23"/>
  <c r="AJ24" i="23"/>
  <c r="AJ28" i="23"/>
  <c r="AJ32" i="23"/>
  <c r="AJ40" i="23"/>
  <c r="AJ44" i="23"/>
  <c r="AJ48" i="23"/>
  <c r="AJ52" i="23"/>
  <c r="AJ56" i="23"/>
  <c r="AJ60" i="23"/>
  <c r="AJ64" i="23"/>
  <c r="AJ68" i="23"/>
  <c r="AJ72" i="23"/>
  <c r="AJ76" i="23"/>
  <c r="AJ80" i="23"/>
  <c r="AJ84" i="23"/>
  <c r="AI16" i="23"/>
  <c r="AJ8" i="23"/>
  <c r="AJ41" i="22"/>
  <c r="AJ49" i="22"/>
  <c r="AJ81" i="22"/>
  <c r="AK17" i="22"/>
  <c r="AK21" i="22"/>
  <c r="AK25" i="22"/>
  <c r="AK29" i="22"/>
  <c r="AK33" i="22"/>
  <c r="AK37" i="22"/>
  <c r="AK41" i="22"/>
  <c r="AK45" i="22"/>
  <c r="AK49" i="22"/>
  <c r="AK53" i="22"/>
  <c r="AK57" i="22"/>
  <c r="AK61" i="22"/>
  <c r="AK65" i="22"/>
  <c r="AK69" i="22"/>
  <c r="AK73" i="22"/>
  <c r="AK77" i="22"/>
  <c r="AK81" i="22"/>
  <c r="AJ33" i="22"/>
  <c r="AJ69" i="22"/>
  <c r="AJ6" i="22"/>
  <c r="AJ10" i="22"/>
  <c r="AJ14" i="22"/>
  <c r="AJ18" i="22"/>
  <c r="AJ22" i="22"/>
  <c r="AJ26" i="22"/>
  <c r="AJ30" i="22"/>
  <c r="AJ34" i="22"/>
  <c r="AJ38" i="22"/>
  <c r="AJ42" i="22"/>
  <c r="AJ46" i="22"/>
  <c r="AJ50" i="22"/>
  <c r="AJ54" i="22"/>
  <c r="AJ58" i="22"/>
  <c r="AJ62" i="22"/>
  <c r="AJ66" i="22"/>
  <c r="AJ70" i="22"/>
  <c r="AJ74" i="22"/>
  <c r="AJ78" i="22"/>
  <c r="AJ82" i="22"/>
  <c r="AJ9" i="22"/>
  <c r="AJ61" i="22"/>
  <c r="AK10" i="22"/>
  <c r="AK18" i="22"/>
  <c r="AK26" i="22"/>
  <c r="AK34" i="22"/>
  <c r="AK38" i="22"/>
  <c r="AK42" i="22"/>
  <c r="AK46" i="22"/>
  <c r="AK50" i="22"/>
  <c r="AK58" i="22"/>
  <c r="AK62" i="22"/>
  <c r="AK66" i="22"/>
  <c r="AK70" i="22"/>
  <c r="AK74" i="22"/>
  <c r="AK78" i="22"/>
  <c r="AK82" i="22"/>
  <c r="AJ17" i="22"/>
  <c r="AJ57" i="22"/>
  <c r="AK9" i="22"/>
  <c r="AK6" i="22"/>
  <c r="AK14" i="22"/>
  <c r="AK22" i="22"/>
  <c r="AK30" i="22"/>
  <c r="AK54" i="22"/>
  <c r="AK5" i="22"/>
  <c r="AJ7" i="22"/>
  <c r="AJ11" i="22"/>
  <c r="AJ15" i="22"/>
  <c r="AJ19" i="22"/>
  <c r="AJ23" i="22"/>
  <c r="AJ27" i="22"/>
  <c r="AJ31" i="22"/>
  <c r="AJ35" i="22"/>
  <c r="AJ39" i="22"/>
  <c r="AJ43" i="22"/>
  <c r="AJ47" i="22"/>
  <c r="AJ51" i="22"/>
  <c r="AJ55" i="22"/>
  <c r="AJ59" i="22"/>
  <c r="AJ63" i="22"/>
  <c r="AJ67" i="22"/>
  <c r="AJ71" i="22"/>
  <c r="AJ75" i="22"/>
  <c r="AJ79" i="22"/>
  <c r="AJ83" i="22"/>
  <c r="AK11" i="22"/>
  <c r="AK15" i="22"/>
  <c r="AK19" i="22"/>
  <c r="AK23" i="22"/>
  <c r="AK27" i="22"/>
  <c r="AK31" i="22"/>
  <c r="AK39" i="22"/>
  <c r="AK43" i="22"/>
  <c r="AK47" i="22"/>
  <c r="AK51" i="22"/>
  <c r="AK55" i="22"/>
  <c r="AK59" i="22"/>
  <c r="AK63" i="22"/>
  <c r="AK67" i="22"/>
  <c r="AK71" i="22"/>
  <c r="AK75" i="22"/>
  <c r="AK79" i="22"/>
  <c r="AK83" i="22"/>
  <c r="AJ25" i="22"/>
  <c r="AJ45" i="22"/>
  <c r="AJ77" i="22"/>
  <c r="AK7" i="22"/>
  <c r="AK35" i="22"/>
  <c r="AJ29" i="22"/>
  <c r="AJ65" i="22"/>
  <c r="AJ8" i="22"/>
  <c r="AJ12" i="22"/>
  <c r="AJ16" i="22"/>
  <c r="AJ20" i="22"/>
  <c r="AJ24" i="22"/>
  <c r="AJ28" i="22"/>
  <c r="AJ32" i="22"/>
  <c r="AJ36" i="22"/>
  <c r="AJ40" i="22"/>
  <c r="AJ44" i="22"/>
  <c r="AJ48" i="22"/>
  <c r="AJ52" i="22"/>
  <c r="AJ56" i="22"/>
  <c r="AJ60" i="22"/>
  <c r="AJ64" i="22"/>
  <c r="AJ68" i="22"/>
  <c r="AJ72" i="22"/>
  <c r="AJ76" i="22"/>
  <c r="AJ80" i="22"/>
  <c r="AJ84" i="22"/>
  <c r="AJ37" i="22"/>
  <c r="AJ73" i="22"/>
  <c r="AK4" i="22"/>
  <c r="AK12" i="22"/>
  <c r="AK20" i="22"/>
  <c r="AK28" i="22"/>
  <c r="AK36" i="22"/>
  <c r="AK40" i="22"/>
  <c r="AK44" i="22"/>
  <c r="AK48" i="22"/>
  <c r="AK52" i="22"/>
  <c r="AK60" i="22"/>
  <c r="AK64" i="22"/>
  <c r="AK68" i="22"/>
  <c r="AK72" i="22"/>
  <c r="AK76" i="22"/>
  <c r="AK80" i="22"/>
  <c r="AK84" i="22"/>
  <c r="AJ13" i="22"/>
  <c r="AJ53" i="22"/>
  <c r="AK13" i="22"/>
  <c r="AK8" i="22"/>
  <c r="AK16" i="22"/>
  <c r="AK24" i="22"/>
  <c r="AK32" i="22"/>
  <c r="AI45" i="21"/>
  <c r="AI73" i="21"/>
  <c r="AJ21" i="21"/>
  <c r="AJ25" i="21"/>
  <c r="AJ29" i="21"/>
  <c r="AJ33" i="21"/>
  <c r="AJ37" i="21"/>
  <c r="AJ41" i="21"/>
  <c r="AJ45" i="21"/>
  <c r="AJ49" i="21"/>
  <c r="AJ53" i="21"/>
  <c r="AJ57" i="21"/>
  <c r="AJ61" i="21"/>
  <c r="AJ65" i="21"/>
  <c r="AJ69" i="21"/>
  <c r="AJ73" i="21"/>
  <c r="AJ77" i="21"/>
  <c r="AJ81" i="21"/>
  <c r="AI21" i="21"/>
  <c r="AI61" i="21"/>
  <c r="AI6" i="21"/>
  <c r="AI10" i="21"/>
  <c r="AI14" i="21"/>
  <c r="AI18" i="21"/>
  <c r="AI22" i="21"/>
  <c r="AI26" i="21"/>
  <c r="AI30" i="21"/>
  <c r="AI34" i="21"/>
  <c r="AI38" i="21"/>
  <c r="AI42" i="21"/>
  <c r="AI46" i="21"/>
  <c r="AI50" i="21"/>
  <c r="AI54" i="21"/>
  <c r="AI58" i="21"/>
  <c r="AI62" i="21"/>
  <c r="AI66" i="21"/>
  <c r="AI70" i="21"/>
  <c r="AI74" i="21"/>
  <c r="AI78" i="21"/>
  <c r="AI82" i="21"/>
  <c r="AI13" i="21"/>
  <c r="AI49" i="21"/>
  <c r="AJ9" i="21"/>
  <c r="AJ10" i="21"/>
  <c r="AJ18" i="21"/>
  <c r="AJ26" i="21"/>
  <c r="AJ30" i="21"/>
  <c r="AJ38" i="21"/>
  <c r="AJ42" i="21"/>
  <c r="AJ46" i="21"/>
  <c r="AJ50" i="21"/>
  <c r="AJ54" i="21"/>
  <c r="AJ62" i="21"/>
  <c r="AJ66" i="21"/>
  <c r="AJ70" i="21"/>
  <c r="AJ74" i="21"/>
  <c r="AJ78" i="21"/>
  <c r="AJ82" i="21"/>
  <c r="AI41" i="21"/>
  <c r="AI77" i="21"/>
  <c r="AJ6" i="21"/>
  <c r="AJ14" i="21"/>
  <c r="AJ22" i="21"/>
  <c r="AJ34" i="21"/>
  <c r="AJ58" i="21"/>
  <c r="AJ5" i="21"/>
  <c r="AI7" i="21"/>
  <c r="AI11" i="21"/>
  <c r="AI15" i="21"/>
  <c r="AI19" i="21"/>
  <c r="AI23" i="21"/>
  <c r="AI27" i="21"/>
  <c r="AI31" i="21"/>
  <c r="AI35" i="21"/>
  <c r="AI39" i="21"/>
  <c r="AI43" i="21"/>
  <c r="AI47" i="21"/>
  <c r="AI51" i="21"/>
  <c r="AI55" i="21"/>
  <c r="AI59" i="21"/>
  <c r="AI63" i="21"/>
  <c r="AI67" i="21"/>
  <c r="AI71" i="21"/>
  <c r="AI75" i="21"/>
  <c r="AI79" i="21"/>
  <c r="AI83" i="21"/>
  <c r="AI33" i="21"/>
  <c r="AI57" i="21"/>
  <c r="AJ13" i="21"/>
  <c r="AJ11" i="21"/>
  <c r="AJ19" i="21"/>
  <c r="AJ23" i="21"/>
  <c r="AJ27" i="21"/>
  <c r="AJ31" i="21"/>
  <c r="AJ35" i="21"/>
  <c r="AJ39" i="21"/>
  <c r="AJ43" i="21"/>
  <c r="AJ51" i="21"/>
  <c r="AJ55" i="21"/>
  <c r="AJ59" i="21"/>
  <c r="AJ63" i="21"/>
  <c r="AJ67" i="21"/>
  <c r="AJ71" i="21"/>
  <c r="AJ75" i="21"/>
  <c r="AJ79" i="21"/>
  <c r="AJ83" i="21"/>
  <c r="AI17" i="21"/>
  <c r="AI53" i="21"/>
  <c r="AJ17" i="21"/>
  <c r="AJ7" i="21"/>
  <c r="AJ15" i="21"/>
  <c r="AJ47" i="21"/>
  <c r="AI25" i="21"/>
  <c r="AI69" i="21"/>
  <c r="AI8" i="21"/>
  <c r="AI12" i="21"/>
  <c r="AI16" i="21"/>
  <c r="AI20" i="21"/>
  <c r="AI24" i="21"/>
  <c r="AI28" i="21"/>
  <c r="AI32" i="21"/>
  <c r="AI36" i="21"/>
  <c r="AI40" i="21"/>
  <c r="AI44" i="21"/>
  <c r="AI48" i="21"/>
  <c r="AI52" i="21"/>
  <c r="AI56" i="21"/>
  <c r="AI60" i="21"/>
  <c r="AI64" i="21"/>
  <c r="AI68" i="21"/>
  <c r="AI72" i="21"/>
  <c r="AI76" i="21"/>
  <c r="AI80" i="21"/>
  <c r="AI84" i="21"/>
  <c r="AI29" i="21"/>
  <c r="AI81" i="21"/>
  <c r="AJ4" i="21"/>
  <c r="AJ12" i="21"/>
  <c r="AJ20" i="21"/>
  <c r="AJ28" i="21"/>
  <c r="AJ32" i="21"/>
  <c r="AJ40" i="21"/>
  <c r="AJ44" i="21"/>
  <c r="AJ48" i="21"/>
  <c r="AJ52" i="21"/>
  <c r="AJ56" i="21"/>
  <c r="AJ64" i="21"/>
  <c r="AJ68" i="21"/>
  <c r="AJ72" i="21"/>
  <c r="AJ76" i="21"/>
  <c r="AJ80" i="21"/>
  <c r="AJ84" i="21"/>
  <c r="AI37" i="21"/>
  <c r="AI4" i="21"/>
  <c r="AJ8" i="21"/>
  <c r="AJ16" i="21"/>
  <c r="AJ24" i="21"/>
  <c r="AJ36" i="21"/>
  <c r="AJ25" i="20"/>
  <c r="AJ69" i="20"/>
  <c r="AJ77" i="20"/>
  <c r="AK9" i="20"/>
  <c r="AK21" i="20"/>
  <c r="AK29" i="20"/>
  <c r="AK37" i="20"/>
  <c r="AK45" i="20"/>
  <c r="AK53" i="20"/>
  <c r="AK61" i="20"/>
  <c r="AK65" i="20"/>
  <c r="AK73" i="20"/>
  <c r="AK77" i="20"/>
  <c r="AK81" i="20"/>
  <c r="AJ21" i="20"/>
  <c r="AJ33" i="20"/>
  <c r="AJ73" i="20"/>
  <c r="AJ81" i="20"/>
  <c r="AK5" i="20"/>
  <c r="AK13" i="20"/>
  <c r="AK17" i="20"/>
  <c r="AK25" i="20"/>
  <c r="AK33" i="20"/>
  <c r="AK41" i="20"/>
  <c r="AK49" i="20"/>
  <c r="AK57" i="20"/>
  <c r="AK69" i="20"/>
  <c r="AJ49" i="20"/>
  <c r="AJ10" i="20"/>
  <c r="AJ14" i="20"/>
  <c r="AJ18" i="20"/>
  <c r="AJ22" i="20"/>
  <c r="AJ26" i="20"/>
  <c r="AJ30" i="20"/>
  <c r="AJ34" i="20"/>
  <c r="AJ38" i="20"/>
  <c r="AJ42" i="20"/>
  <c r="AJ46" i="20"/>
  <c r="AJ50" i="20"/>
  <c r="AJ54" i="20"/>
  <c r="AJ58" i="20"/>
  <c r="AJ62" i="20"/>
  <c r="AJ66" i="20"/>
  <c r="AJ70" i="20"/>
  <c r="AJ74" i="20"/>
  <c r="AJ78" i="20"/>
  <c r="AJ82" i="20"/>
  <c r="AJ41" i="20"/>
  <c r="AK10" i="20"/>
  <c r="AK18" i="20"/>
  <c r="AK30" i="20"/>
  <c r="AK38" i="20"/>
  <c r="AK46" i="20"/>
  <c r="AK54" i="20"/>
  <c r="AK58" i="20"/>
  <c r="AK62" i="20"/>
  <c r="AK66" i="20"/>
  <c r="AK74" i="20"/>
  <c r="AK78" i="20"/>
  <c r="AK82" i="20"/>
  <c r="AJ29" i="20"/>
  <c r="AJ6" i="20"/>
  <c r="AK6" i="20"/>
  <c r="AK14" i="20"/>
  <c r="AK22" i="20"/>
  <c r="AK26" i="20"/>
  <c r="AK34" i="20"/>
  <c r="AK42" i="20"/>
  <c r="AK50" i="20"/>
  <c r="AK70" i="20"/>
  <c r="AJ13" i="20"/>
  <c r="AJ53" i="20"/>
  <c r="AJ7" i="20"/>
  <c r="AJ11" i="20"/>
  <c r="AJ15" i="20"/>
  <c r="AJ19" i="20"/>
  <c r="AJ23" i="20"/>
  <c r="AJ27" i="20"/>
  <c r="AJ31" i="20"/>
  <c r="AJ35" i="20"/>
  <c r="AJ39" i="20"/>
  <c r="AJ43" i="20"/>
  <c r="AJ47" i="20"/>
  <c r="AJ51" i="20"/>
  <c r="AJ55" i="20"/>
  <c r="AJ59" i="20"/>
  <c r="AJ63" i="20"/>
  <c r="AJ67" i="20"/>
  <c r="AJ71" i="20"/>
  <c r="AJ75" i="20"/>
  <c r="AJ79" i="20"/>
  <c r="AJ83" i="20"/>
  <c r="AJ17" i="20"/>
  <c r="AJ61" i="20"/>
  <c r="AK7" i="20"/>
  <c r="AK15" i="20"/>
  <c r="AK23" i="20"/>
  <c r="AK27" i="20"/>
  <c r="AK31" i="20"/>
  <c r="AK35" i="20"/>
  <c r="AK39" i="20"/>
  <c r="AK43" i="20"/>
  <c r="AK47" i="20"/>
  <c r="AK55" i="20"/>
  <c r="AK59" i="20"/>
  <c r="AK63" i="20"/>
  <c r="AK67" i="20"/>
  <c r="AK71" i="20"/>
  <c r="AK75" i="20"/>
  <c r="AK79" i="20"/>
  <c r="AK83" i="20"/>
  <c r="AJ45" i="20"/>
  <c r="AK11" i="20"/>
  <c r="AK19" i="20"/>
  <c r="AK51" i="20"/>
  <c r="AJ65" i="20"/>
  <c r="AJ8" i="20"/>
  <c r="AJ16" i="20"/>
  <c r="AJ24" i="20"/>
  <c r="AJ28" i="20"/>
  <c r="AJ32" i="20"/>
  <c r="AJ36" i="20"/>
  <c r="AJ40" i="20"/>
  <c r="AJ44" i="20"/>
  <c r="AJ48" i="20"/>
  <c r="AJ52" i="20"/>
  <c r="AJ56" i="20"/>
  <c r="AJ60" i="20"/>
  <c r="AJ64" i="20"/>
  <c r="AJ68" i="20"/>
  <c r="AJ72" i="20"/>
  <c r="AJ76" i="20"/>
  <c r="AJ80" i="20"/>
  <c r="AJ84" i="20"/>
  <c r="AJ37" i="20"/>
  <c r="AJ12" i="20"/>
  <c r="AK8" i="20"/>
  <c r="AK16" i="20"/>
  <c r="AK24" i="20"/>
  <c r="AK28" i="20"/>
  <c r="AK36" i="20"/>
  <c r="AK40" i="20"/>
  <c r="AK44" i="20"/>
  <c r="AK48" i="20"/>
  <c r="AK52" i="20"/>
  <c r="AK56" i="20"/>
  <c r="AK64" i="20"/>
  <c r="AK68" i="20"/>
  <c r="AK72" i="20"/>
  <c r="AK76" i="20"/>
  <c r="AK80" i="20"/>
  <c r="AK84" i="20"/>
  <c r="AJ4" i="20"/>
  <c r="AJ20" i="20"/>
  <c r="AK4" i="20"/>
  <c r="AK12" i="20"/>
  <c r="AK20" i="20"/>
  <c r="AK32" i="20"/>
  <c r="AJ13" i="19"/>
  <c r="AJ46" i="19"/>
  <c r="AJ65" i="19"/>
  <c r="AJ69" i="19"/>
  <c r="AJ77" i="19"/>
  <c r="AK13" i="19"/>
  <c r="AK21" i="19"/>
  <c r="AK29" i="19"/>
  <c r="AK43" i="19"/>
  <c r="AJ17" i="19"/>
  <c r="AJ43" i="19"/>
  <c r="AJ61" i="19"/>
  <c r="AJ73" i="19"/>
  <c r="AK5" i="19"/>
  <c r="AK9" i="19"/>
  <c r="AK17" i="19"/>
  <c r="AK25" i="19"/>
  <c r="AK32" i="19"/>
  <c r="AK35" i="19"/>
  <c r="AK39" i="19"/>
  <c r="AK46" i="19"/>
  <c r="AK49" i="19"/>
  <c r="AK53" i="19"/>
  <c r="AK57" i="19"/>
  <c r="AK61" i="19"/>
  <c r="AK65" i="19"/>
  <c r="AK69" i="19"/>
  <c r="AK73" i="19"/>
  <c r="AJ53" i="19"/>
  <c r="AJ10" i="19"/>
  <c r="AJ18" i="19"/>
  <c r="AJ36" i="19"/>
  <c r="AJ40" i="19"/>
  <c r="AJ44" i="19"/>
  <c r="AJ50" i="19"/>
  <c r="AJ54" i="19"/>
  <c r="AJ58" i="19"/>
  <c r="AJ62" i="19"/>
  <c r="AJ66" i="19"/>
  <c r="AJ70" i="19"/>
  <c r="AJ74" i="19"/>
  <c r="AJ78" i="19"/>
  <c r="AJ49" i="19"/>
  <c r="AJ6" i="19"/>
  <c r="AJ26" i="19"/>
  <c r="AK6" i="19"/>
  <c r="AK14" i="19"/>
  <c r="AK22" i="19"/>
  <c r="AK36" i="19"/>
  <c r="AK54" i="19"/>
  <c r="AK62" i="19"/>
  <c r="AK66" i="19"/>
  <c r="AK70" i="19"/>
  <c r="AJ25" i="19"/>
  <c r="AJ57" i="19"/>
  <c r="AJ14" i="19"/>
  <c r="AJ22" i="19"/>
  <c r="AJ33" i="19"/>
  <c r="AK10" i="19"/>
  <c r="AK18" i="19"/>
  <c r="AK26" i="19"/>
  <c r="AK33" i="19"/>
  <c r="AK40" i="19"/>
  <c r="AK44" i="19"/>
  <c r="AK50" i="19"/>
  <c r="AK58" i="19"/>
  <c r="AK74" i="19"/>
  <c r="AJ29" i="19"/>
  <c r="AJ11" i="19"/>
  <c r="AJ27" i="19"/>
  <c r="AJ51" i="19"/>
  <c r="AJ59" i="19"/>
  <c r="AJ67" i="19"/>
  <c r="AJ71" i="19"/>
  <c r="AK7" i="19"/>
  <c r="AK15" i="19"/>
  <c r="AK23" i="19"/>
  <c r="AK27" i="19"/>
  <c r="AK30" i="19"/>
  <c r="AK37" i="19"/>
  <c r="AK41" i="19"/>
  <c r="AK47" i="19"/>
  <c r="AK51" i="19"/>
  <c r="AK55" i="19"/>
  <c r="AK59" i="19"/>
  <c r="AK63" i="19"/>
  <c r="AK67" i="19"/>
  <c r="AK71" i="19"/>
  <c r="AK75" i="19"/>
  <c r="AJ35" i="19"/>
  <c r="AJ19" i="19"/>
  <c r="AJ30" i="19"/>
  <c r="AJ45" i="19"/>
  <c r="AJ55" i="19"/>
  <c r="AJ63" i="19"/>
  <c r="AJ75" i="19"/>
  <c r="AK11" i="19"/>
  <c r="AK19" i="19"/>
  <c r="AK45" i="19"/>
  <c r="AJ15" i="19"/>
  <c r="AJ41" i="19"/>
  <c r="AJ8" i="19"/>
  <c r="AJ20" i="19"/>
  <c r="AJ31" i="19"/>
  <c r="AJ34" i="19"/>
  <c r="AJ48" i="19"/>
  <c r="AJ52" i="19"/>
  <c r="AJ56" i="19"/>
  <c r="AJ60" i="19"/>
  <c r="AJ64" i="19"/>
  <c r="AJ68" i="19"/>
  <c r="AJ72" i="19"/>
  <c r="AJ76" i="19"/>
  <c r="AJ80" i="19"/>
  <c r="AJ39" i="19"/>
  <c r="AJ7" i="19"/>
  <c r="AJ37" i="19"/>
  <c r="AJ4" i="19"/>
  <c r="AJ16" i="19"/>
  <c r="AJ28" i="19"/>
  <c r="AJ38" i="19"/>
  <c r="AK8" i="19"/>
  <c r="AK16" i="19"/>
  <c r="AK24" i="19"/>
  <c r="AK31" i="19"/>
  <c r="AK38" i="19"/>
  <c r="AK42" i="19"/>
  <c r="AK48" i="19"/>
  <c r="AK52" i="19"/>
  <c r="AK60" i="19"/>
  <c r="AK64" i="19"/>
  <c r="AK68" i="19"/>
  <c r="AK72" i="19"/>
  <c r="AK76" i="19"/>
  <c r="AJ47" i="19"/>
  <c r="AJ12" i="19"/>
  <c r="AJ24" i="19"/>
  <c r="AJ42" i="19"/>
  <c r="AK12" i="19"/>
  <c r="AK20" i="19"/>
  <c r="AK28" i="19"/>
  <c r="AK34" i="19"/>
  <c r="AJ41" i="18"/>
  <c r="AJ81" i="18"/>
  <c r="AK13" i="18"/>
  <c r="AK17" i="18"/>
  <c r="AK21" i="18"/>
  <c r="AK25" i="18"/>
  <c r="AK29" i="18"/>
  <c r="AK33" i="18"/>
  <c r="AK37" i="18"/>
  <c r="AK41" i="18"/>
  <c r="AK45" i="18"/>
  <c r="AK49" i="18"/>
  <c r="AK53" i="18"/>
  <c r="AK57" i="18"/>
  <c r="AK61" i="18"/>
  <c r="AK65" i="18"/>
  <c r="AK69" i="18"/>
  <c r="AK73" i="18"/>
  <c r="AK77" i="18"/>
  <c r="AK81" i="18"/>
  <c r="AJ25" i="18"/>
  <c r="AJ69" i="18"/>
  <c r="AJ22" i="18"/>
  <c r="AJ30" i="18"/>
  <c r="AJ38" i="18"/>
  <c r="AJ42" i="18"/>
  <c r="AJ46" i="18"/>
  <c r="AJ50" i="18"/>
  <c r="AJ54" i="18"/>
  <c r="AJ58" i="18"/>
  <c r="AJ62" i="18"/>
  <c r="AJ66" i="18"/>
  <c r="AJ70" i="18"/>
  <c r="AJ74" i="18"/>
  <c r="AJ78" i="18"/>
  <c r="AJ82" i="18"/>
  <c r="AK5" i="18"/>
  <c r="AJ26" i="18"/>
  <c r="AK6" i="18"/>
  <c r="AK14" i="18"/>
  <c r="AK22" i="18"/>
  <c r="AK34" i="18"/>
  <c r="AK42" i="18"/>
  <c r="AK50" i="18"/>
  <c r="AK62" i="18"/>
  <c r="AK70" i="18"/>
  <c r="AK74" i="18"/>
  <c r="AK82" i="18"/>
  <c r="AJ33" i="18"/>
  <c r="AJ61" i="18"/>
  <c r="AJ18" i="18"/>
  <c r="AJ34" i="18"/>
  <c r="AK10" i="18"/>
  <c r="AK18" i="18"/>
  <c r="AK26" i="18"/>
  <c r="AK30" i="18"/>
  <c r="AK38" i="18"/>
  <c r="AK46" i="18"/>
  <c r="AK54" i="18"/>
  <c r="AK58" i="18"/>
  <c r="AK66" i="18"/>
  <c r="AK78" i="18"/>
  <c r="AJ9" i="18"/>
  <c r="AJ45" i="18"/>
  <c r="AJ65" i="18"/>
  <c r="AJ14" i="18"/>
  <c r="AJ7" i="18"/>
  <c r="AJ11" i="18"/>
  <c r="AJ15" i="18"/>
  <c r="AJ19" i="18"/>
  <c r="AJ23" i="18"/>
  <c r="AJ27" i="18"/>
  <c r="AJ31" i="18"/>
  <c r="AJ35" i="18"/>
  <c r="AJ39" i="18"/>
  <c r="AJ43" i="18"/>
  <c r="AJ47" i="18"/>
  <c r="AJ51" i="18"/>
  <c r="AJ55" i="18"/>
  <c r="AJ59" i="18"/>
  <c r="AJ63" i="18"/>
  <c r="AJ67" i="18"/>
  <c r="AJ71" i="18"/>
  <c r="AJ75" i="18"/>
  <c r="AJ79" i="18"/>
  <c r="AJ83" i="18"/>
  <c r="AJ17" i="18"/>
  <c r="AJ57" i="18"/>
  <c r="AJ6" i="18"/>
  <c r="AK11" i="18"/>
  <c r="AK19" i="18"/>
  <c r="AK27" i="18"/>
  <c r="AK35" i="18"/>
  <c r="AK39" i="18"/>
  <c r="AK43" i="18"/>
  <c r="AK47" i="18"/>
  <c r="AK55" i="18"/>
  <c r="AK59" i="18"/>
  <c r="AK63" i="18"/>
  <c r="AK67" i="18"/>
  <c r="AK71" i="18"/>
  <c r="AK75" i="18"/>
  <c r="AK79" i="18"/>
  <c r="AK83" i="18"/>
  <c r="AJ37" i="18"/>
  <c r="AJ73" i="18"/>
  <c r="AJ10" i="18"/>
  <c r="AK7" i="18"/>
  <c r="AK15" i="18"/>
  <c r="AK23" i="18"/>
  <c r="AK31" i="18"/>
  <c r="AK51" i="18"/>
  <c r="AJ29" i="18"/>
  <c r="AJ77" i="18"/>
  <c r="AJ12" i="18"/>
  <c r="AJ24" i="18"/>
  <c r="AJ36" i="18"/>
  <c r="AJ44" i="18"/>
  <c r="AJ52" i="18"/>
  <c r="AJ56" i="18"/>
  <c r="AJ60" i="18"/>
  <c r="AJ64" i="18"/>
  <c r="AJ68" i="18"/>
  <c r="AJ72" i="18"/>
  <c r="AJ76" i="18"/>
  <c r="AJ80" i="18"/>
  <c r="AJ84" i="18"/>
  <c r="AJ21" i="18"/>
  <c r="AJ49" i="18"/>
  <c r="AK9" i="18"/>
  <c r="AJ4" i="18"/>
  <c r="AJ16" i="18"/>
  <c r="AJ28" i="18"/>
  <c r="AJ40" i="18"/>
  <c r="AK4" i="18"/>
  <c r="AK12" i="18"/>
  <c r="AK20" i="18"/>
  <c r="AK28" i="18"/>
  <c r="AK32" i="18"/>
  <c r="AK40" i="18"/>
  <c r="AK48" i="18"/>
  <c r="AK56" i="18"/>
  <c r="AK60" i="18"/>
  <c r="AK64" i="18"/>
  <c r="AK72" i="18"/>
  <c r="AK76" i="18"/>
  <c r="AK80" i="18"/>
  <c r="AK84" i="18"/>
  <c r="AJ8" i="18"/>
  <c r="AJ20" i="18"/>
  <c r="AJ32" i="18"/>
  <c r="AJ48" i="18"/>
  <c r="AK8" i="18"/>
  <c r="AK16" i="18"/>
  <c r="AK24" i="18"/>
  <c r="AK36" i="18"/>
  <c r="AK44" i="18"/>
  <c r="AK52" i="18"/>
  <c r="AH13" i="17"/>
  <c r="AH17" i="17"/>
  <c r="AH21" i="17"/>
  <c r="AH25" i="17"/>
  <c r="AH29" i="17"/>
  <c r="AH33" i="17"/>
  <c r="AH37" i="17"/>
  <c r="AH41" i="17"/>
  <c r="AH45" i="17"/>
  <c r="AH49" i="17"/>
  <c r="AH53" i="17"/>
  <c r="AH57" i="17"/>
  <c r="AH61" i="17"/>
  <c r="AH65" i="17"/>
  <c r="AH69" i="17"/>
  <c r="AH73" i="17"/>
  <c r="AH77" i="17"/>
  <c r="AH81" i="17"/>
  <c r="AG49" i="17"/>
  <c r="AG6" i="17"/>
  <c r="AG18" i="17"/>
  <c r="AG30" i="17"/>
  <c r="AG34" i="17"/>
  <c r="AG38" i="17"/>
  <c r="AG42" i="17"/>
  <c r="AG46" i="17"/>
  <c r="AG50" i="17"/>
  <c r="AG54" i="17"/>
  <c r="AG58" i="17"/>
  <c r="AG62" i="17"/>
  <c r="AG66" i="17"/>
  <c r="AG70" i="17"/>
  <c r="AG74" i="17"/>
  <c r="AG78" i="17"/>
  <c r="AG82" i="17"/>
  <c r="AG33" i="17"/>
  <c r="AG57" i="17"/>
  <c r="AG10" i="17"/>
  <c r="AG22" i="17"/>
  <c r="AH10" i="17"/>
  <c r="AH18" i="17"/>
  <c r="AH26" i="17"/>
  <c r="AH34" i="17"/>
  <c r="AH42" i="17"/>
  <c r="AH50" i="17"/>
  <c r="AH58" i="17"/>
  <c r="AH66" i="17"/>
  <c r="AH70" i="17"/>
  <c r="AH74" i="17"/>
  <c r="AH82" i="17"/>
  <c r="AG41" i="17"/>
  <c r="AG69" i="17"/>
  <c r="AG14" i="17"/>
  <c r="AG26" i="17"/>
  <c r="AH6" i="17"/>
  <c r="AH14" i="17"/>
  <c r="AH22" i="17"/>
  <c r="AH30" i="17"/>
  <c r="AH38" i="17"/>
  <c r="AH46" i="17"/>
  <c r="AH54" i="17"/>
  <c r="AH62" i="17"/>
  <c r="AH78" i="17"/>
  <c r="AG45" i="17"/>
  <c r="AG81" i="17"/>
  <c r="AG7" i="17"/>
  <c r="AG15" i="17"/>
  <c r="AG19" i="17"/>
  <c r="AG23" i="17"/>
  <c r="AG27" i="17"/>
  <c r="AG31" i="17"/>
  <c r="AG35" i="17"/>
  <c r="AG39" i="17"/>
  <c r="AG43" i="17"/>
  <c r="AG47" i="17"/>
  <c r="AG51" i="17"/>
  <c r="AG55" i="17"/>
  <c r="AG59" i="17"/>
  <c r="AG63" i="17"/>
  <c r="AG67" i="17"/>
  <c r="AG71" i="17"/>
  <c r="AG75" i="17"/>
  <c r="AG79" i="17"/>
  <c r="AG83" i="17"/>
  <c r="AG53" i="17"/>
  <c r="AH11" i="17"/>
  <c r="AH19" i="17"/>
  <c r="AH31" i="17"/>
  <c r="AH39" i="17"/>
  <c r="AH47" i="17"/>
  <c r="AH51" i="17"/>
  <c r="AH55" i="17"/>
  <c r="AH59" i="17"/>
  <c r="AH63" i="17"/>
  <c r="AH71" i="17"/>
  <c r="AH75" i="17"/>
  <c r="AH79" i="17"/>
  <c r="AH83" i="17"/>
  <c r="AG11" i="17"/>
  <c r="AH7" i="17"/>
  <c r="AH15" i="17"/>
  <c r="AH23" i="17"/>
  <c r="AH27" i="17"/>
  <c r="AH35" i="17"/>
  <c r="AH43" i="17"/>
  <c r="AH67" i="17"/>
  <c r="AG25" i="17"/>
  <c r="AG61" i="17"/>
  <c r="AG8" i="17"/>
  <c r="AG20" i="17"/>
  <c r="AG28" i="17"/>
  <c r="AG36" i="17"/>
  <c r="AG40" i="17"/>
  <c r="AG44" i="17"/>
  <c r="AG48" i="17"/>
  <c r="AG52" i="17"/>
  <c r="AG56" i="17"/>
  <c r="AG60" i="17"/>
  <c r="AG64" i="17"/>
  <c r="AG68" i="17"/>
  <c r="AG72" i="17"/>
  <c r="AG76" i="17"/>
  <c r="AG80" i="17"/>
  <c r="AG84" i="17"/>
  <c r="AG29" i="17"/>
  <c r="AG73" i="17"/>
  <c r="AG12" i="17"/>
  <c r="AG24" i="17"/>
  <c r="AH4" i="17"/>
  <c r="AH12" i="17"/>
  <c r="AH20" i="17"/>
  <c r="AH28" i="17"/>
  <c r="AH36" i="17"/>
  <c r="AH44" i="17"/>
  <c r="AH52" i="17"/>
  <c r="AH60" i="17"/>
  <c r="AH68" i="17"/>
  <c r="AH72" i="17"/>
  <c r="AH76" i="17"/>
  <c r="AH84" i="17"/>
  <c r="AG37" i="17"/>
  <c r="AG4" i="17"/>
  <c r="AG16" i="17"/>
  <c r="AG32" i="17"/>
  <c r="AH8" i="17"/>
  <c r="AH16" i="17"/>
  <c r="AH24" i="17"/>
  <c r="AH32" i="17"/>
  <c r="AH40" i="17"/>
  <c r="AH48" i="17"/>
  <c r="AH56" i="17"/>
  <c r="AH64" i="17"/>
  <c r="AK41" i="16"/>
  <c r="AK45" i="16"/>
  <c r="AK49" i="16"/>
  <c r="AK53" i="16"/>
  <c r="AK57" i="16"/>
  <c r="AK61" i="16"/>
  <c r="AK65" i="16"/>
  <c r="AK69" i="16"/>
  <c r="AK73" i="16"/>
  <c r="AK77" i="16"/>
  <c r="AK81" i="16"/>
  <c r="AJ33" i="16"/>
  <c r="AJ57" i="16"/>
  <c r="AK9" i="16"/>
  <c r="AJ26" i="16"/>
  <c r="AJ38" i="16"/>
  <c r="AJ42" i="16"/>
  <c r="AJ46" i="16"/>
  <c r="AJ50" i="16"/>
  <c r="AJ54" i="16"/>
  <c r="AJ58" i="16"/>
  <c r="AJ62" i="16"/>
  <c r="AJ66" i="16"/>
  <c r="AJ70" i="16"/>
  <c r="AJ74" i="16"/>
  <c r="AJ78" i="16"/>
  <c r="AJ82" i="16"/>
  <c r="AJ37" i="16"/>
  <c r="AJ81" i="16"/>
  <c r="AJ6" i="16"/>
  <c r="AJ30" i="16"/>
  <c r="AK10" i="16"/>
  <c r="AK18" i="16"/>
  <c r="AK26" i="16"/>
  <c r="AK34" i="16"/>
  <c r="AK42" i="16"/>
  <c r="AK50" i="16"/>
  <c r="AK62" i="16"/>
  <c r="AK70" i="16"/>
  <c r="AK82" i="16"/>
  <c r="AJ17" i="16"/>
  <c r="AJ53" i="16"/>
  <c r="AJ77" i="16"/>
  <c r="AK29" i="16"/>
  <c r="AJ14" i="16"/>
  <c r="AJ34" i="16"/>
  <c r="AK6" i="16"/>
  <c r="AK14" i="16"/>
  <c r="AK22" i="16"/>
  <c r="AK30" i="16"/>
  <c r="AK38" i="16"/>
  <c r="AK46" i="16"/>
  <c r="AK54" i="16"/>
  <c r="AK58" i="16"/>
  <c r="AK66" i="16"/>
  <c r="AK74" i="16"/>
  <c r="AK78" i="16"/>
  <c r="AJ21" i="16"/>
  <c r="AJ41" i="16"/>
  <c r="AJ61" i="16"/>
  <c r="AK21" i="16"/>
  <c r="AJ10" i="16"/>
  <c r="AJ11" i="16"/>
  <c r="AJ15" i="16"/>
  <c r="AJ19" i="16"/>
  <c r="AJ23" i="16"/>
  <c r="AJ27" i="16"/>
  <c r="AJ31" i="16"/>
  <c r="AJ35" i="16"/>
  <c r="AJ39" i="16"/>
  <c r="AJ43" i="16"/>
  <c r="AJ47" i="16"/>
  <c r="AJ51" i="16"/>
  <c r="AJ55" i="16"/>
  <c r="AJ59" i="16"/>
  <c r="AJ63" i="16"/>
  <c r="AJ67" i="16"/>
  <c r="AJ71" i="16"/>
  <c r="AJ75" i="16"/>
  <c r="AJ79" i="16"/>
  <c r="AJ83" i="16"/>
  <c r="AJ45" i="16"/>
  <c r="AJ69" i="16"/>
  <c r="AK25" i="16"/>
  <c r="AJ18" i="16"/>
  <c r="AK15" i="16"/>
  <c r="AK23" i="16"/>
  <c r="AK31" i="16"/>
  <c r="AK39" i="16"/>
  <c r="AK47" i="16"/>
  <c r="AK55" i="16"/>
  <c r="AK59" i="16"/>
  <c r="AK63" i="16"/>
  <c r="AK67" i="16"/>
  <c r="AK71" i="16"/>
  <c r="AK79" i="16"/>
  <c r="AK83" i="16"/>
  <c r="AJ25" i="16"/>
  <c r="AK5" i="16"/>
  <c r="AK17" i="16"/>
  <c r="AJ22" i="16"/>
  <c r="AJ7" i="16"/>
  <c r="AK7" i="16"/>
  <c r="AK11" i="16"/>
  <c r="AK19" i="16"/>
  <c r="AK27" i="16"/>
  <c r="AK35" i="16"/>
  <c r="AK43" i="16"/>
  <c r="AK51" i="16"/>
  <c r="AK75" i="16"/>
  <c r="AJ29" i="16"/>
  <c r="AJ65" i="16"/>
  <c r="AK13" i="16"/>
  <c r="AJ8" i="16"/>
  <c r="AJ16" i="16"/>
  <c r="AJ28" i="16"/>
  <c r="AJ32" i="16"/>
  <c r="AJ36" i="16"/>
  <c r="AJ40" i="16"/>
  <c r="AJ44" i="16"/>
  <c r="AJ48" i="16"/>
  <c r="AJ52" i="16"/>
  <c r="AJ56" i="16"/>
  <c r="AJ60" i="16"/>
  <c r="AJ64" i="16"/>
  <c r="AJ68" i="16"/>
  <c r="AJ72" i="16"/>
  <c r="AJ76" i="16"/>
  <c r="AJ80" i="16"/>
  <c r="AJ84" i="16"/>
  <c r="AJ4" i="16"/>
  <c r="AJ20" i="16"/>
  <c r="AK8" i="16"/>
  <c r="AK20" i="16"/>
  <c r="AK28" i="16"/>
  <c r="AK36" i="16"/>
  <c r="AK44" i="16"/>
  <c r="AK52" i="16"/>
  <c r="AK64" i="16"/>
  <c r="AK72" i="16"/>
  <c r="AK84" i="16"/>
  <c r="AJ9" i="16"/>
  <c r="AJ49" i="16"/>
  <c r="AJ73" i="16"/>
  <c r="AJ12" i="16"/>
  <c r="AJ24" i="16"/>
  <c r="AK4" i="16"/>
  <c r="AK12" i="16"/>
  <c r="AK16" i="16"/>
  <c r="AK24" i="16"/>
  <c r="AK32" i="16"/>
  <c r="AK40" i="16"/>
  <c r="AK48" i="16"/>
  <c r="AK56" i="16"/>
  <c r="AK60" i="16"/>
  <c r="AK68" i="16"/>
  <c r="AK76" i="16"/>
  <c r="AI37" i="15"/>
  <c r="AI61" i="15"/>
  <c r="AJ9" i="15"/>
  <c r="AJ13" i="15"/>
  <c r="AJ17" i="15"/>
  <c r="AJ21" i="15"/>
  <c r="AJ25" i="15"/>
  <c r="AJ29" i="15"/>
  <c r="AJ33" i="15"/>
  <c r="AJ37" i="15"/>
  <c r="AJ41" i="15"/>
  <c r="AJ45" i="15"/>
  <c r="AJ49" i="15"/>
  <c r="AJ53" i="15"/>
  <c r="AJ57" i="15"/>
  <c r="AJ61" i="15"/>
  <c r="AJ65" i="15"/>
  <c r="AJ69" i="15"/>
  <c r="AJ73" i="15"/>
  <c r="AJ77" i="15"/>
  <c r="AJ81" i="15"/>
  <c r="AI53" i="15"/>
  <c r="AI34" i="15"/>
  <c r="AI46" i="15"/>
  <c r="AI50" i="15"/>
  <c r="AI54" i="15"/>
  <c r="AI58" i="15"/>
  <c r="AI62" i="15"/>
  <c r="AI66" i="15"/>
  <c r="AI70" i="15"/>
  <c r="AI74" i="15"/>
  <c r="AI78" i="15"/>
  <c r="AI82" i="15"/>
  <c r="AI25" i="15"/>
  <c r="AI73" i="15"/>
  <c r="AI14" i="15"/>
  <c r="AI38" i="15"/>
  <c r="AJ10" i="15"/>
  <c r="AJ18" i="15"/>
  <c r="AJ30" i="15"/>
  <c r="AJ38" i="15"/>
  <c r="AJ46" i="15"/>
  <c r="AJ58" i="15"/>
  <c r="AJ66" i="15"/>
  <c r="AJ82" i="15"/>
  <c r="AI41" i="15"/>
  <c r="AI69" i="15"/>
  <c r="AI18" i="15"/>
  <c r="AI42" i="15"/>
  <c r="AJ6" i="15"/>
  <c r="AJ14" i="15"/>
  <c r="AJ22" i="15"/>
  <c r="AJ26" i="15"/>
  <c r="AJ34" i="15"/>
  <c r="AJ42" i="15"/>
  <c r="AJ50" i="15"/>
  <c r="AJ54" i="15"/>
  <c r="AJ62" i="15"/>
  <c r="AJ70" i="15"/>
  <c r="AJ74" i="15"/>
  <c r="AJ78" i="15"/>
  <c r="AI45" i="15"/>
  <c r="AI81" i="15"/>
  <c r="AI10" i="15"/>
  <c r="AI26" i="15"/>
  <c r="AI7" i="15"/>
  <c r="AI19" i="15"/>
  <c r="AI23" i="15"/>
  <c r="AI27" i="15"/>
  <c r="AI31" i="15"/>
  <c r="AI35" i="15"/>
  <c r="AI39" i="15"/>
  <c r="AI43" i="15"/>
  <c r="AI47" i="15"/>
  <c r="AI51" i="15"/>
  <c r="AI55" i="15"/>
  <c r="AI59" i="15"/>
  <c r="AI63" i="15"/>
  <c r="AI67" i="15"/>
  <c r="AI71" i="15"/>
  <c r="AI75" i="15"/>
  <c r="AI79" i="15"/>
  <c r="AI83" i="15"/>
  <c r="AI17" i="15"/>
  <c r="AI49" i="15"/>
  <c r="AI6" i="15"/>
  <c r="AI30" i="15"/>
  <c r="AI15" i="15"/>
  <c r="AJ11" i="15"/>
  <c r="AJ19" i="15"/>
  <c r="AJ27" i="15"/>
  <c r="AJ35" i="15"/>
  <c r="AJ43" i="15"/>
  <c r="AJ47" i="15"/>
  <c r="AJ51" i="15"/>
  <c r="AJ55" i="15"/>
  <c r="AJ59" i="15"/>
  <c r="AJ67" i="15"/>
  <c r="AJ71" i="15"/>
  <c r="AJ75" i="15"/>
  <c r="AJ79" i="15"/>
  <c r="AJ83" i="15"/>
  <c r="AI29" i="15"/>
  <c r="AI77" i="15"/>
  <c r="AI22" i="15"/>
  <c r="AI11" i="15"/>
  <c r="AJ7" i="15"/>
  <c r="AJ15" i="15"/>
  <c r="AJ23" i="15"/>
  <c r="AJ31" i="15"/>
  <c r="AJ39" i="15"/>
  <c r="AJ63" i="15"/>
  <c r="AI21" i="15"/>
  <c r="AI57" i="15"/>
  <c r="AI12" i="15"/>
  <c r="AI24" i="15"/>
  <c r="AI40" i="15"/>
  <c r="AI48" i="15"/>
  <c r="AI56" i="15"/>
  <c r="AI60" i="15"/>
  <c r="AI64" i="15"/>
  <c r="AI68" i="15"/>
  <c r="AI72" i="15"/>
  <c r="AI76" i="15"/>
  <c r="AI80" i="15"/>
  <c r="AI84" i="15"/>
  <c r="AJ5" i="15"/>
  <c r="AI8" i="15"/>
  <c r="AI20" i="15"/>
  <c r="AI32" i="15"/>
  <c r="AI44" i="15"/>
  <c r="AJ8" i="15"/>
  <c r="AJ16" i="15"/>
  <c r="AJ24" i="15"/>
  <c r="AJ32" i="15"/>
  <c r="AJ40" i="15"/>
  <c r="AJ48" i="15"/>
  <c r="AJ56" i="15"/>
  <c r="AJ64" i="15"/>
  <c r="AJ68" i="15"/>
  <c r="AJ72" i="15"/>
  <c r="AJ76" i="15"/>
  <c r="AJ84" i="15"/>
  <c r="AI33" i="15"/>
  <c r="AI4" i="15"/>
  <c r="AI16" i="15"/>
  <c r="AI28" i="15"/>
  <c r="AI36" i="15"/>
  <c r="AI52" i="15"/>
  <c r="AJ4" i="15"/>
  <c r="AJ12" i="15"/>
  <c r="AJ20" i="15"/>
  <c r="AJ28" i="15"/>
  <c r="AJ36" i="15"/>
  <c r="AJ44" i="15"/>
  <c r="AJ52" i="15"/>
  <c r="AJ60" i="15"/>
  <c r="AJ41" i="14"/>
  <c r="AJ49" i="14"/>
  <c r="AJ61" i="14"/>
  <c r="AJ69" i="14"/>
  <c r="AK5" i="14"/>
  <c r="AK13" i="14"/>
  <c r="AK21" i="14"/>
  <c r="AK29" i="14"/>
  <c r="AK37" i="14"/>
  <c r="AK45" i="14"/>
  <c r="AK53" i="14"/>
  <c r="AK61" i="14"/>
  <c r="AK69" i="14"/>
  <c r="AK81" i="14"/>
  <c r="AJ21" i="14"/>
  <c r="AJ45" i="14"/>
  <c r="AJ53" i="14"/>
  <c r="AJ57" i="14"/>
  <c r="AJ65" i="14"/>
  <c r="AJ73" i="14"/>
  <c r="AJ77" i="14"/>
  <c r="AK9" i="14"/>
  <c r="AK17" i="14"/>
  <c r="AK25" i="14"/>
  <c r="AK33" i="14"/>
  <c r="AK41" i="14"/>
  <c r="AK49" i="14"/>
  <c r="AK57" i="14"/>
  <c r="AK65" i="14"/>
  <c r="AK73" i="14"/>
  <c r="AK77" i="14"/>
  <c r="AJ9" i="14"/>
  <c r="AJ18" i="14"/>
  <c r="AJ22" i="14"/>
  <c r="AJ26" i="14"/>
  <c r="AJ30" i="14"/>
  <c r="AJ34" i="14"/>
  <c r="AJ38" i="14"/>
  <c r="AJ42" i="14"/>
  <c r="AJ46" i="14"/>
  <c r="AJ50" i="14"/>
  <c r="AJ54" i="14"/>
  <c r="AJ58" i="14"/>
  <c r="AJ62" i="14"/>
  <c r="AJ66" i="14"/>
  <c r="AJ70" i="14"/>
  <c r="AJ74" i="14"/>
  <c r="AJ78" i="14"/>
  <c r="AJ82" i="14"/>
  <c r="AJ17" i="14"/>
  <c r="AJ10" i="14"/>
  <c r="AK14" i="14"/>
  <c r="AK18" i="14"/>
  <c r="AK22" i="14"/>
  <c r="AK26" i="14"/>
  <c r="AK30" i="14"/>
  <c r="AK34" i="14"/>
  <c r="AK38" i="14"/>
  <c r="AK42" i="14"/>
  <c r="AK46" i="14"/>
  <c r="AK50" i="14"/>
  <c r="AK54" i="14"/>
  <c r="AK58" i="14"/>
  <c r="AK62" i="14"/>
  <c r="AK66" i="14"/>
  <c r="AK70" i="14"/>
  <c r="AK74" i="14"/>
  <c r="AK82" i="14"/>
  <c r="AJ13" i="14"/>
  <c r="AJ14" i="14"/>
  <c r="AJ7" i="14"/>
  <c r="AJ19" i="14"/>
  <c r="AJ31" i="14"/>
  <c r="AJ35" i="14"/>
  <c r="AJ39" i="14"/>
  <c r="AJ43" i="14"/>
  <c r="AJ47" i="14"/>
  <c r="AJ51" i="14"/>
  <c r="AJ55" i="14"/>
  <c r="AJ59" i="14"/>
  <c r="AJ63" i="14"/>
  <c r="AJ67" i="14"/>
  <c r="AJ71" i="14"/>
  <c r="AJ75" i="14"/>
  <c r="AJ79" i="14"/>
  <c r="AJ83" i="14"/>
  <c r="AJ25" i="14"/>
  <c r="AK10" i="14"/>
  <c r="AJ11" i="14"/>
  <c r="AJ23" i="14"/>
  <c r="AK11" i="14"/>
  <c r="AK19" i="14"/>
  <c r="AK31" i="14"/>
  <c r="AK39" i="14"/>
  <c r="AK47" i="14"/>
  <c r="AK59" i="14"/>
  <c r="AK67" i="14"/>
  <c r="AK75" i="14"/>
  <c r="AK83" i="14"/>
  <c r="AK6" i="14"/>
  <c r="AJ15" i="14"/>
  <c r="AJ27" i="14"/>
  <c r="AK7" i="14"/>
  <c r="AK15" i="14"/>
  <c r="AK23" i="14"/>
  <c r="AK27" i="14"/>
  <c r="AK35" i="14"/>
  <c r="AK43" i="14"/>
  <c r="AK51" i="14"/>
  <c r="AK55" i="14"/>
  <c r="AK63" i="14"/>
  <c r="AK71" i="14"/>
  <c r="AK79" i="14"/>
  <c r="AJ33" i="14"/>
  <c r="AJ4" i="14"/>
  <c r="AJ16" i="14"/>
  <c r="AJ28" i="14"/>
  <c r="AJ32" i="14"/>
  <c r="AJ36" i="14"/>
  <c r="AJ40" i="14"/>
  <c r="AJ44" i="14"/>
  <c r="AJ48" i="14"/>
  <c r="AJ52" i="14"/>
  <c r="AJ56" i="14"/>
  <c r="AJ60" i="14"/>
  <c r="AJ64" i="14"/>
  <c r="AJ68" i="14"/>
  <c r="AJ72" i="14"/>
  <c r="AJ76" i="14"/>
  <c r="AJ80" i="14"/>
  <c r="AJ84" i="14"/>
  <c r="AJ8" i="14"/>
  <c r="AJ20" i="14"/>
  <c r="AK4" i="14"/>
  <c r="AK12" i="14"/>
  <c r="AK20" i="14"/>
  <c r="AK28" i="14"/>
  <c r="AK32" i="14"/>
  <c r="AK40" i="14"/>
  <c r="AK48" i="14"/>
  <c r="AK56" i="14"/>
  <c r="AK64" i="14"/>
  <c r="AK72" i="14"/>
  <c r="AK84" i="14"/>
  <c r="AJ12" i="14"/>
  <c r="AJ24" i="14"/>
  <c r="AK8" i="14"/>
  <c r="AK16" i="14"/>
  <c r="AK24" i="14"/>
  <c r="AK36" i="14"/>
  <c r="AK44" i="14"/>
  <c r="AK52" i="14"/>
  <c r="AK60" i="14"/>
  <c r="AK68" i="14"/>
  <c r="AK76" i="14"/>
  <c r="AI5" i="1"/>
  <c r="AI4" i="1"/>
</calcChain>
</file>

<file path=xl/sharedStrings.xml><?xml version="1.0" encoding="utf-8"?>
<sst xmlns="http://schemas.openxmlformats.org/spreadsheetml/2006/main" count="4530" uniqueCount="138">
  <si>
    <t>ت</t>
  </si>
  <si>
    <t xml:space="preserve">الاسماء </t>
  </si>
  <si>
    <t>محمد باسم</t>
  </si>
  <si>
    <t>مصطفى عامر</t>
  </si>
  <si>
    <t>محمد جاسم الدواس</t>
  </si>
  <si>
    <t>مصطفى حيدر</t>
  </si>
  <si>
    <t>علي جميل</t>
  </si>
  <si>
    <t>مسلم ستار</t>
  </si>
  <si>
    <t>بلال عماد</t>
  </si>
  <si>
    <t>رضا خالد</t>
  </si>
  <si>
    <t>عبدالمحسن كشيش</t>
  </si>
  <si>
    <t>يوسف راضي</t>
  </si>
  <si>
    <t>كاصد شلال</t>
  </si>
  <si>
    <t>هاشم جواد كاظم</t>
  </si>
  <si>
    <t>حسن عوده</t>
  </si>
  <si>
    <t>عمار صالح</t>
  </si>
  <si>
    <t>ميثم كريم</t>
  </si>
  <si>
    <t>حسن الباكستاني</t>
  </si>
  <si>
    <t>شاهد الباكستاني</t>
  </si>
  <si>
    <t>سجاد الباكستاني</t>
  </si>
  <si>
    <t>حيدر هاشم</t>
  </si>
  <si>
    <t>حسين منصور</t>
  </si>
  <si>
    <t>اوراس فارس</t>
  </si>
  <si>
    <t>حيدر محمود</t>
  </si>
  <si>
    <t>ذوالفقار</t>
  </si>
  <si>
    <t>هادي جبار</t>
  </si>
  <si>
    <t>علي عصام</t>
  </si>
  <si>
    <t>حسنين خزعل</t>
  </si>
  <si>
    <t>رباح نوري</t>
  </si>
  <si>
    <t>حسن احمد</t>
  </si>
  <si>
    <t>مسلم كريم</t>
  </si>
  <si>
    <t>احمد سامي</t>
  </si>
  <si>
    <t>زيدان حسين</t>
  </si>
  <si>
    <t>قاسم سعيد</t>
  </si>
  <si>
    <t>محمد عبدالزهره</t>
  </si>
  <si>
    <t>علي فاضل</t>
  </si>
  <si>
    <t>محمد شزام</t>
  </si>
  <si>
    <t>مهند غضبان</t>
  </si>
  <si>
    <t>عباس فاضل عباس</t>
  </si>
  <si>
    <t>حسن هادي</t>
  </si>
  <si>
    <t>احمد عليوي</t>
  </si>
  <si>
    <t>مقتدى عبدالحسن</t>
  </si>
  <si>
    <t>مرتضى محمد</t>
  </si>
  <si>
    <t>علي عبدالرضا</t>
  </si>
  <si>
    <t>ثائر كبه</t>
  </si>
  <si>
    <t>مرتضى صالح</t>
  </si>
  <si>
    <t>علي عبد</t>
  </si>
  <si>
    <t xml:space="preserve">مصطفى عبدالله </t>
  </si>
  <si>
    <t xml:space="preserve">مطر محمد </t>
  </si>
  <si>
    <t>غزوان مجيد</t>
  </si>
  <si>
    <t>بهاء الدين احمد</t>
  </si>
  <si>
    <t>سمير صالح</t>
  </si>
  <si>
    <t>يحيى حرب جلو</t>
  </si>
  <si>
    <t>احمد غالب</t>
  </si>
  <si>
    <t>احمد صباح</t>
  </si>
  <si>
    <t>عباس الدفان</t>
  </si>
  <si>
    <t>نصيري</t>
  </si>
  <si>
    <t>رفيع</t>
  </si>
  <si>
    <t>مجيد صفيان فهيد</t>
  </si>
  <si>
    <t>زيد احسان محمد</t>
  </si>
  <si>
    <t>ليث جعفر</t>
  </si>
  <si>
    <t>مجيدي QC</t>
  </si>
  <si>
    <t>مهند عادل</t>
  </si>
  <si>
    <t>عباس فاضل حسون</t>
  </si>
  <si>
    <t>عميد مهدي</t>
  </si>
  <si>
    <t>عبدالله عبدالحسين</t>
  </si>
  <si>
    <t>محمد حسين QC</t>
  </si>
  <si>
    <t>مصطفى جبار</t>
  </si>
  <si>
    <t>علي سليمان هادي</t>
  </si>
  <si>
    <t>احمد عبدالغفار احمد</t>
  </si>
  <si>
    <t>حسين كشيش لفتة</t>
  </si>
  <si>
    <t>محمد علوي</t>
  </si>
  <si>
    <t>مهند سلمان</t>
  </si>
  <si>
    <t xml:space="preserve">كرار علي وهيب </t>
  </si>
  <si>
    <t>علاء حسين وهيب</t>
  </si>
  <si>
    <t>مجيد سالم فرج</t>
  </si>
  <si>
    <t>الاربعاء</t>
  </si>
  <si>
    <t>الخميس</t>
  </si>
  <si>
    <t>الجمعة</t>
  </si>
  <si>
    <t>السبت</t>
  </si>
  <si>
    <t>الاحد</t>
  </si>
  <si>
    <t>الاثنين</t>
  </si>
  <si>
    <t>الثلاثاء</t>
  </si>
  <si>
    <t>م</t>
  </si>
  <si>
    <t>R</t>
  </si>
  <si>
    <t>ح</t>
  </si>
  <si>
    <t>P</t>
  </si>
  <si>
    <t>سجاد رياض عباس</t>
  </si>
  <si>
    <t>عباس محمد عباس</t>
  </si>
  <si>
    <t>كرار حيدر صدام</t>
  </si>
  <si>
    <t>علي قاسم كاظم</t>
  </si>
  <si>
    <t>علي حسين كشيش</t>
  </si>
  <si>
    <t>غ</t>
  </si>
  <si>
    <t>مجنون</t>
  </si>
  <si>
    <t>X</t>
  </si>
  <si>
    <t xml:space="preserve">السنة : </t>
  </si>
  <si>
    <t xml:space="preserve"> الشهر : </t>
  </si>
  <si>
    <t>ايام الحضور</t>
  </si>
  <si>
    <t>ايام الغياب</t>
  </si>
  <si>
    <t>انتهاء الاجازة</t>
  </si>
  <si>
    <t>اليوم</t>
  </si>
  <si>
    <t>صلاح مهدي سلمان</t>
  </si>
  <si>
    <t xml:space="preserve"> قيصر وسام قيصر</t>
  </si>
  <si>
    <t>أكمل</t>
  </si>
  <si>
    <t>2</t>
  </si>
  <si>
    <t>4</t>
  </si>
  <si>
    <t>5</t>
  </si>
  <si>
    <t>7</t>
  </si>
  <si>
    <t>9</t>
  </si>
  <si>
    <t>11</t>
  </si>
  <si>
    <t>12</t>
  </si>
  <si>
    <t>الشهر</t>
  </si>
  <si>
    <t>مرتضى محمد هادي</t>
  </si>
  <si>
    <t>حسن عوده حسين</t>
  </si>
  <si>
    <t>تاريخ بدء الاجازة الجديدة</t>
  </si>
  <si>
    <t>ايام الاجازة</t>
  </si>
  <si>
    <t>تاريخ انتهاء الاجازة</t>
  </si>
  <si>
    <t>علي عبد رسن</t>
  </si>
  <si>
    <t>علي رضا</t>
  </si>
  <si>
    <t>عباس دفان</t>
  </si>
  <si>
    <t>حسن احمد حسن</t>
  </si>
  <si>
    <t>غيث احمد عبدالستار</t>
  </si>
  <si>
    <t>احمد علاوي</t>
  </si>
  <si>
    <t>محمد حزام</t>
  </si>
  <si>
    <t>مهدي سلمان</t>
  </si>
  <si>
    <t>علي عبد المحسن كشيش</t>
  </si>
  <si>
    <t>حسين ياسين</t>
  </si>
  <si>
    <t>مسعود صفيان</t>
  </si>
  <si>
    <t>عباس فاضل حنون</t>
  </si>
  <si>
    <t>محمد عليوي</t>
  </si>
  <si>
    <t>مهندس حيدر</t>
  </si>
  <si>
    <t>م.ص</t>
  </si>
  <si>
    <t>مقتدى عبدالمحسن</t>
  </si>
  <si>
    <t>محمد حسن QC</t>
  </si>
  <si>
    <t>ايمن شهاب كاظم</t>
  </si>
  <si>
    <t>علي محمد قاسم</t>
  </si>
  <si>
    <t>.</t>
  </si>
  <si>
    <t>أيام الاجازة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</si>
</sst>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d"/>
    <numFmt numFmtId="165" formatCode="yyyy"/>
    <numFmt numFmtId="166" formatCode="d"/>
    <numFmt numFmtId="167" formatCode="dd\-mm\-yyyy"/>
    <numFmt numFmtId="168" formatCode="dd/mm/yyyy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1" xfId="0" applyFont="1" applyBorder="1"/>
    <xf numFmtId="0" fontId="1" fillId="0" borderId="1" xfId="0" applyFont="1" applyFill="1" applyBorder="1"/>
    <xf numFmtId="0" fontId="2" fillId="3" borderId="1" xfId="0" applyFont="1" applyFill="1" applyBorder="1"/>
    <xf numFmtId="14" fontId="1" fillId="5" borderId="0" xfId="0" applyNumberFormat="1" applyFont="1" applyFill="1" applyAlignment="1">
      <alignment vertical="center"/>
    </xf>
    <xf numFmtId="0" fontId="1" fillId="5" borderId="0" xfId="0" applyFont="1" applyFill="1" applyAlignment="1">
      <alignment vertical="center"/>
    </xf>
    <xf numFmtId="164" fontId="3" fillId="4" borderId="1" xfId="0" applyNumberFormat="1" applyFont="1" applyFill="1" applyBorder="1" applyAlignment="1">
      <alignment horizontal="center" textRotation="90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6" borderId="1" xfId="0" applyFont="1" applyFill="1" applyBorder="1"/>
    <xf numFmtId="0" fontId="1" fillId="6" borderId="0" xfId="0" applyFont="1" applyFill="1"/>
    <xf numFmtId="0" fontId="0" fillId="0" borderId="1" xfId="0" applyBorder="1"/>
    <xf numFmtId="0" fontId="1" fillId="6" borderId="0" xfId="0" applyFont="1" applyFill="1" applyBorder="1" applyAlignment="1">
      <alignment horizontal="center"/>
    </xf>
    <xf numFmtId="0" fontId="1" fillId="0" borderId="0" xfId="0" applyFont="1" applyBorder="1"/>
    <xf numFmtId="0" fontId="2" fillId="6" borderId="1" xfId="0" applyFont="1" applyFill="1" applyBorder="1"/>
    <xf numFmtId="0" fontId="2" fillId="6" borderId="0" xfId="0" applyFont="1" applyFill="1"/>
    <xf numFmtId="165" fontId="1" fillId="5" borderId="0" xfId="0" applyNumberFormat="1" applyFont="1" applyFill="1" applyBorder="1" applyAlignment="1">
      <alignment vertical="center"/>
    </xf>
    <xf numFmtId="49" fontId="1" fillId="5" borderId="0" xfId="0" applyNumberFormat="1" applyFont="1" applyFill="1" applyAlignment="1">
      <alignment vertical="center"/>
    </xf>
    <xf numFmtId="165" fontId="1" fillId="5" borderId="2" xfId="0" applyNumberFormat="1" applyFont="1" applyFill="1" applyBorder="1" applyAlignment="1">
      <alignment vertical="center"/>
    </xf>
    <xf numFmtId="166" fontId="1" fillId="2" borderId="1" xfId="0" applyNumberFormat="1" applyFont="1" applyFill="1" applyBorder="1" applyAlignment="1">
      <alignment horizontal="center"/>
    </xf>
    <xf numFmtId="164" fontId="3" fillId="7" borderId="1" xfId="0" applyNumberFormat="1" applyFont="1" applyFill="1" applyBorder="1" applyAlignment="1">
      <alignment horizontal="center" textRotation="90"/>
    </xf>
    <xf numFmtId="166" fontId="3" fillId="7" borderId="1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0" borderId="1" xfId="0" applyNumberFormat="1" applyFont="1" applyBorder="1"/>
    <xf numFmtId="49" fontId="1" fillId="5" borderId="2" xfId="0" applyNumberFormat="1" applyFont="1" applyFill="1" applyBorder="1" applyAlignment="1">
      <alignment vertical="center"/>
    </xf>
    <xf numFmtId="167" fontId="7" fillId="8" borderId="1" xfId="0" applyNumberFormat="1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5" borderId="0" xfId="0" applyNumberFormat="1" applyFont="1" applyFill="1" applyAlignment="1">
      <alignment horizontal="right" vertical="center"/>
    </xf>
    <xf numFmtId="0" fontId="1" fillId="11" borderId="1" xfId="0" applyFont="1" applyFill="1" applyBorder="1" applyAlignment="1">
      <alignment horizontal="center"/>
    </xf>
    <xf numFmtId="14" fontId="1" fillId="0" borderId="1" xfId="0" applyNumberFormat="1" applyFont="1" applyBorder="1"/>
    <xf numFmtId="0" fontId="10" fillId="12" borderId="7" xfId="0" applyFont="1" applyFill="1" applyBorder="1"/>
    <xf numFmtId="0" fontId="9" fillId="13" borderId="1" xfId="0" applyFont="1" applyFill="1" applyBorder="1" applyAlignment="1">
      <alignment horizontal="center"/>
    </xf>
    <xf numFmtId="168" fontId="9" fillId="13" borderId="1" xfId="0" applyNumberFormat="1" applyFont="1" applyFill="1" applyBorder="1" applyAlignment="1">
      <alignment horizontal="center"/>
    </xf>
    <xf numFmtId="0" fontId="6" fillId="14" borderId="1" xfId="0" applyFont="1" applyFill="1" applyBorder="1"/>
    <xf numFmtId="0" fontId="1" fillId="15" borderId="1" xfId="0" applyFont="1" applyFill="1" applyBorder="1"/>
    <xf numFmtId="167" fontId="6" fillId="9" borderId="5" xfId="0" applyNumberFormat="1" applyFont="1" applyFill="1" applyBorder="1" applyAlignment="1">
      <alignment horizontal="center" vertical="center"/>
    </xf>
    <xf numFmtId="167" fontId="6" fillId="9" borderId="6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5" borderId="0" xfId="0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1">
    <cellStyle name="عادي" xfId="0" builtinId="0"/>
  </cellStyles>
  <dxfs count="11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80F897"/>
      <color rgb="FF99FF66"/>
      <color rgb="FF66FF33"/>
      <color rgb="FF66FF66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BV1048562"/>
  <sheetViews>
    <sheetView rightToLeft="1" topLeftCell="AT31" zoomScaleNormal="100" workbookViewId="0">
      <selection activeCell="BV55" sqref="BV55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71" width="8.88671875" style="1"/>
    <col min="72" max="72" width="3.44140625" style="1" customWidth="1"/>
    <col min="73" max="73" width="12.44140625" style="1" customWidth="1"/>
    <col min="74" max="74" width="14" style="1" customWidth="1"/>
    <col min="75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1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44562</v>
      </c>
      <c r="D3" s="21">
        <f t="shared" ref="D3" si="1">DATE(2022,$P$1,COLUMN(B:B))</f>
        <v>44563</v>
      </c>
      <c r="E3" s="21">
        <f t="shared" ref="E3" si="2">DATE(2022,$P$1,COLUMN(C:C))</f>
        <v>44564</v>
      </c>
      <c r="F3" s="21">
        <f t="shared" ref="F3" si="3">DATE(2022,$P$1,COLUMN(D:D))</f>
        <v>44565</v>
      </c>
      <c r="G3" s="21">
        <f t="shared" ref="G3" si="4">DATE(2022,$P$1,COLUMN(E:E))</f>
        <v>44566</v>
      </c>
      <c r="H3" s="21">
        <f t="shared" ref="H3" si="5">DATE(2022,$P$1,COLUMN(F:F))</f>
        <v>44567</v>
      </c>
      <c r="I3" s="21">
        <f t="shared" ref="I3" si="6">DATE(2022,$P$1,COLUMN(G:G))</f>
        <v>44568</v>
      </c>
      <c r="J3" s="21">
        <f t="shared" ref="J3" si="7">DATE(2022,$P$1,COLUMN(H:H))</f>
        <v>44569</v>
      </c>
      <c r="K3" s="21">
        <f t="shared" ref="K3" si="8">DATE(2022,$P$1,COLUMN(I:I))</f>
        <v>44570</v>
      </c>
      <c r="L3" s="21">
        <f t="shared" ref="L3" si="9">DATE(2022,$P$1,COLUMN(J:J))</f>
        <v>44571</v>
      </c>
      <c r="M3" s="21">
        <f t="shared" ref="M3" si="10">DATE(2022,$P$1,COLUMN(K:K))</f>
        <v>44572</v>
      </c>
      <c r="N3" s="21">
        <f t="shared" ref="N3" si="11">DATE(2022,$P$1,COLUMN(L:L))</f>
        <v>44573</v>
      </c>
      <c r="O3" s="21">
        <f t="shared" ref="O3" si="12">DATE(2022,$P$1,COLUMN(M:M))</f>
        <v>44574</v>
      </c>
      <c r="P3" s="21">
        <f t="shared" ref="P3" si="13">DATE(2022,$P$1,COLUMN(N:N))</f>
        <v>44575</v>
      </c>
      <c r="Q3" s="21">
        <f t="shared" ref="Q3" si="14">DATE(2022,$P$1,COLUMN(O:O))</f>
        <v>44576</v>
      </c>
      <c r="R3" s="21">
        <f t="shared" ref="R3" si="15">DATE(2022,$P$1,COLUMN(P:P))</f>
        <v>44577</v>
      </c>
      <c r="S3" s="21">
        <f t="shared" ref="S3" si="16">DATE(2022,$P$1,COLUMN(Q:Q))</f>
        <v>44578</v>
      </c>
      <c r="T3" s="21">
        <f t="shared" ref="T3" si="17">DATE(2022,$P$1,COLUMN(R:R))</f>
        <v>44579</v>
      </c>
      <c r="U3" s="21">
        <f t="shared" ref="U3" si="18">DATE(2022,$P$1,COLUMN(S:S))</f>
        <v>44580</v>
      </c>
      <c r="V3" s="21">
        <f t="shared" ref="V3" si="19">DATE(2022,$P$1,COLUMN(T:T))</f>
        <v>44581</v>
      </c>
      <c r="W3" s="21">
        <f t="shared" ref="W3" si="20">DATE(2022,$P$1,COLUMN(U:U))</f>
        <v>44582</v>
      </c>
      <c r="X3" s="21">
        <f t="shared" ref="X3" si="21">DATE(2022,$P$1,COLUMN(V:V))</f>
        <v>44583</v>
      </c>
      <c r="Y3" s="21">
        <f t="shared" ref="Y3" si="22">DATE(2022,$P$1,COLUMN(W:W))</f>
        <v>44584</v>
      </c>
      <c r="Z3" s="21">
        <f t="shared" ref="Z3" si="23">DATE(2022,$P$1,COLUMN(X:X))</f>
        <v>44585</v>
      </c>
      <c r="AA3" s="21">
        <f t="shared" ref="AA3" si="24">DATE(2022,$P$1,COLUMN(Y:Y))</f>
        <v>44586</v>
      </c>
      <c r="AB3" s="21">
        <f t="shared" ref="AB3" si="25">DATE(2022,$P$1,COLUMN(Z:Z))</f>
        <v>44587</v>
      </c>
      <c r="AC3" s="21">
        <f t="shared" ref="AC3" si="26">DATE(2022,$P$1,COLUMN(AA:AA))</f>
        <v>44588</v>
      </c>
      <c r="AD3" s="21">
        <f t="shared" ref="AD3" si="27">DATE(2022,$P$1,COLUMN(AB:AB))</f>
        <v>44589</v>
      </c>
      <c r="AE3" s="21">
        <f t="shared" ref="AE3" si="28">DATE(2022,$P$1,COLUMN(AC:AC))</f>
        <v>44590</v>
      </c>
      <c r="AF3" s="21">
        <f t="shared" ref="AF3" si="29">DATE(2022,$P$1,COLUMN(AD:AD))</f>
        <v>44591</v>
      </c>
      <c r="AG3" s="21">
        <f t="shared" ref="AG3" si="30">DATE(2022,$P$1,COLUMN(AE:AE))</f>
        <v>44592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35" si="31">COUNTIFS($C$3:$AG$3,"&gt;="&amp;AH4,$C$3:$AG$3,"&lt;="&amp;AI4,C4:AG4,"ح")</f>
        <v>0</v>
      </c>
      <c r="AK4" s="13">
        <f t="shared" ref="AK4:AK35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ref="AJ36:AJ67" si="34">COUNTIFS($C$3:$AG$3,"&gt;="&amp;AH36,$C$3:$AG$3,"&lt;="&amp;AI36,C36:AG36,"ح")</f>
        <v>0</v>
      </c>
      <c r="AK36" s="13">
        <f t="shared" ref="AK36:AK67" si="35">COUNTIFS($C$3:$AG$3,"&gt;="&amp;AH36,$C$3:$AG$3,"&lt;="&amp;AI36,C36:AG36,"غ")</f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4"/>
        <v>0</v>
      </c>
      <c r="AK37" s="13">
        <f t="shared" si="35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4"/>
        <v>0</v>
      </c>
      <c r="AK38" s="13">
        <f t="shared" si="35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4"/>
        <v>0</v>
      </c>
      <c r="AK39" s="13">
        <f t="shared" si="35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4"/>
        <v>0</v>
      </c>
      <c r="AK40" s="13">
        <f t="shared" si="35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4"/>
        <v>0</v>
      </c>
      <c r="AK41" s="13">
        <f t="shared" si="35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4"/>
        <v>0</v>
      </c>
      <c r="AK42" s="13">
        <f t="shared" si="35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4"/>
        <v>0</v>
      </c>
      <c r="AK43" s="13">
        <f t="shared" si="35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4"/>
        <v>0</v>
      </c>
      <c r="AK44" s="13">
        <f t="shared" si="35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4"/>
        <v>0</v>
      </c>
      <c r="AK45" s="13">
        <f t="shared" si="35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4"/>
        <v>0</v>
      </c>
      <c r="AK46" s="13">
        <f t="shared" si="35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4"/>
        <v>0</v>
      </c>
      <c r="AK47" s="13">
        <f t="shared" si="35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4"/>
        <v>0</v>
      </c>
      <c r="AK48" s="13">
        <f t="shared" si="35"/>
        <v>0</v>
      </c>
      <c r="AL48" s="26">
        <f t="shared" si="33"/>
        <v>0</v>
      </c>
    </row>
    <row r="49" spans="1:74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4"/>
        <v>0</v>
      </c>
      <c r="AK49" s="13">
        <f t="shared" si="35"/>
        <v>0</v>
      </c>
      <c r="AL49" s="26">
        <f t="shared" si="33"/>
        <v>0</v>
      </c>
    </row>
    <row r="50" spans="1:74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4"/>
        <v>0</v>
      </c>
      <c r="AK50" s="13">
        <f t="shared" si="35"/>
        <v>0</v>
      </c>
      <c r="AL50" s="26">
        <f t="shared" si="33"/>
        <v>0</v>
      </c>
    </row>
    <row r="51" spans="1:74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4"/>
        <v>0</v>
      </c>
      <c r="AK51" s="13">
        <f t="shared" si="35"/>
        <v>0</v>
      </c>
      <c r="AL51" s="26">
        <f t="shared" si="33"/>
        <v>0</v>
      </c>
    </row>
    <row r="52" spans="1:74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4"/>
        <v>0</v>
      </c>
      <c r="AK52" s="13">
        <f t="shared" si="35"/>
        <v>0</v>
      </c>
      <c r="AL52" s="26">
        <f t="shared" si="33"/>
        <v>0</v>
      </c>
    </row>
    <row r="53" spans="1:74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4"/>
        <v>0</v>
      </c>
      <c r="AK53" s="13">
        <f t="shared" si="35"/>
        <v>0</v>
      </c>
      <c r="AL53" s="26">
        <f t="shared" si="33"/>
        <v>0</v>
      </c>
    </row>
    <row r="54" spans="1:74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4"/>
        <v>0</v>
      </c>
      <c r="AK54" s="13">
        <f t="shared" si="35"/>
        <v>0</v>
      </c>
      <c r="AL54" s="26">
        <f t="shared" si="33"/>
        <v>0</v>
      </c>
      <c r="BU54" s="35" t="s">
        <v>100</v>
      </c>
      <c r="BV54" s="35" t="s">
        <v>111</v>
      </c>
    </row>
    <row r="55" spans="1:74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4"/>
        <v>0</v>
      </c>
      <c r="AK55" s="13">
        <f t="shared" si="35"/>
        <v>0</v>
      </c>
      <c r="AL55" s="26">
        <f t="shared" si="33"/>
        <v>0</v>
      </c>
      <c r="BU55" s="36">
        <f ca="1">TODAY()</f>
        <v>44756</v>
      </c>
      <c r="BV55" s="3">
        <f ca="1">MONTH(BU55)</f>
        <v>7</v>
      </c>
    </row>
    <row r="56" spans="1:74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4"/>
        <v>0</v>
      </c>
      <c r="AK56" s="13">
        <f t="shared" si="35"/>
        <v>0</v>
      </c>
      <c r="AL56" s="26">
        <f t="shared" si="33"/>
        <v>0</v>
      </c>
    </row>
    <row r="57" spans="1:74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4"/>
        <v>0</v>
      </c>
      <c r="AK57" s="13">
        <f t="shared" si="35"/>
        <v>0</v>
      </c>
      <c r="AL57" s="26">
        <f t="shared" si="33"/>
        <v>0</v>
      </c>
    </row>
    <row r="58" spans="1:74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4"/>
        <v>0</v>
      </c>
      <c r="AK58" s="13">
        <f t="shared" si="35"/>
        <v>0</v>
      </c>
      <c r="AL58" s="26">
        <f t="shared" si="33"/>
        <v>0</v>
      </c>
    </row>
    <row r="59" spans="1:74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4"/>
        <v>0</v>
      </c>
      <c r="AK59" s="13">
        <f t="shared" si="35"/>
        <v>0</v>
      </c>
      <c r="AL59" s="26">
        <f t="shared" si="33"/>
        <v>0</v>
      </c>
    </row>
    <row r="60" spans="1:74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4"/>
        <v>0</v>
      </c>
      <c r="AK60" s="13">
        <f t="shared" si="35"/>
        <v>0</v>
      </c>
      <c r="AL60" s="26">
        <f t="shared" si="33"/>
        <v>0</v>
      </c>
    </row>
    <row r="61" spans="1:74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4"/>
        <v>0</v>
      </c>
      <c r="AK61" s="13">
        <f t="shared" si="35"/>
        <v>0</v>
      </c>
      <c r="AL61" s="26">
        <f t="shared" si="33"/>
        <v>0</v>
      </c>
    </row>
    <row r="62" spans="1:74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4"/>
        <v>0</v>
      </c>
      <c r="AK62" s="13">
        <f t="shared" si="35"/>
        <v>0</v>
      </c>
      <c r="AL62" s="26">
        <f t="shared" si="33"/>
        <v>0</v>
      </c>
    </row>
    <row r="63" spans="1:74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4"/>
        <v>0</v>
      </c>
      <c r="AK63" s="13">
        <f t="shared" si="35"/>
        <v>0</v>
      </c>
      <c r="AL63" s="26">
        <f t="shared" si="33"/>
        <v>0</v>
      </c>
    </row>
    <row r="64" spans="1:74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4"/>
        <v>0</v>
      </c>
      <c r="AK64" s="13">
        <f t="shared" si="35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4"/>
        <v>0</v>
      </c>
      <c r="AK65" s="13">
        <f t="shared" si="35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4"/>
        <v>0</v>
      </c>
      <c r="AK66" s="13">
        <f t="shared" si="35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4"/>
        <v>0</v>
      </c>
      <c r="AK67" s="13">
        <f t="shared" si="35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6">COUNTIFS($C$3:$AG$3,"&gt;="&amp;AH68,$C$3:$AG$3,"&lt;="&amp;AI68,C68:AG68,"ح")</f>
        <v>0</v>
      </c>
      <c r="AK68" s="13">
        <f t="shared" ref="AK68:AK84" si="37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6"/>
        <v>0</v>
      </c>
      <c r="AK69" s="13">
        <f t="shared" si="37"/>
        <v>0</v>
      </c>
      <c r="AL69" s="26">
        <f t="shared" ref="AL69:AL84" si="38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6"/>
        <v>0</v>
      </c>
      <c r="AK70" s="13">
        <f t="shared" si="37"/>
        <v>0</v>
      </c>
      <c r="AL70" s="26">
        <f t="shared" si="38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6"/>
        <v>0</v>
      </c>
      <c r="AK71" s="13">
        <f t="shared" si="37"/>
        <v>0</v>
      </c>
      <c r="AL71" s="26">
        <f t="shared" si="38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6"/>
        <v>0</v>
      </c>
      <c r="AK72" s="13">
        <f t="shared" si="37"/>
        <v>0</v>
      </c>
      <c r="AL72" s="26">
        <f t="shared" si="38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6"/>
        <v>0</v>
      </c>
      <c r="AK73" s="13">
        <f t="shared" si="37"/>
        <v>0</v>
      </c>
      <c r="AL73" s="26">
        <f t="shared" si="38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6"/>
        <v>0</v>
      </c>
      <c r="AK74" s="13">
        <f t="shared" si="37"/>
        <v>0</v>
      </c>
      <c r="AL74" s="26">
        <f t="shared" si="38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6"/>
        <v>0</v>
      </c>
      <c r="AK75" s="13">
        <f t="shared" si="37"/>
        <v>0</v>
      </c>
      <c r="AL75" s="26">
        <f t="shared" si="38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6"/>
        <v>0</v>
      </c>
      <c r="AK76" s="13">
        <f t="shared" si="37"/>
        <v>0</v>
      </c>
      <c r="AL76" s="26">
        <f t="shared" si="38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6"/>
        <v>0</v>
      </c>
      <c r="AK77" s="13">
        <f t="shared" si="37"/>
        <v>0</v>
      </c>
      <c r="AL77" s="26">
        <f t="shared" si="38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6"/>
        <v>0</v>
      </c>
      <c r="AK78" s="13">
        <f t="shared" si="37"/>
        <v>0</v>
      </c>
      <c r="AL78" s="26">
        <f t="shared" si="38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6"/>
        <v>0</v>
      </c>
      <c r="AK79" s="13">
        <f t="shared" si="37"/>
        <v>0</v>
      </c>
      <c r="AL79" s="26">
        <f t="shared" si="38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6"/>
        <v>0</v>
      </c>
      <c r="AK80" s="13">
        <f t="shared" si="37"/>
        <v>0</v>
      </c>
      <c r="AL80" s="26">
        <f t="shared" si="38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6"/>
        <v>0</v>
      </c>
      <c r="AK81" s="13">
        <f t="shared" si="37"/>
        <v>0</v>
      </c>
      <c r="AL81" s="26">
        <f t="shared" si="38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6"/>
        <v>0</v>
      </c>
      <c r="AK82" s="13">
        <f t="shared" si="37"/>
        <v>0</v>
      </c>
      <c r="AL82" s="26">
        <f t="shared" si="38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6"/>
        <v>0</v>
      </c>
      <c r="AK83" s="13">
        <f t="shared" si="37"/>
        <v>0</v>
      </c>
      <c r="AL83" s="26">
        <f t="shared" si="38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6"/>
        <v>0</v>
      </c>
      <c r="AK84" s="13">
        <f t="shared" si="37"/>
        <v>0</v>
      </c>
      <c r="AL84" s="26">
        <f t="shared" si="38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114" priority="1" operator="equal">
      <formula>"م"</formula>
    </cfRule>
    <cfRule type="cellIs" dxfId="113" priority="2" operator="equal">
      <formula>"ح"</formula>
    </cfRule>
    <cfRule type="cellIs" dxfId="112" priority="3" operator="equal">
      <formula>"غ"</formula>
    </cfRule>
    <cfRule type="cellIs" dxfId="111" priority="4" operator="equal">
      <formula>"م"</formula>
    </cfRule>
    <cfRule type="cellIs" dxfId="11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{26623401-286A-40ED-AD60-CE61D3ABF8D1}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{CAB0E67A-9AD4-494D-9CEC-F71139E22662}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623401-286A-40ED-AD60-CE61D3ABF8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CAB0E67A-9AD4-494D-9CEC-F71139E226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2F7FCB2-AA1F-4FD0-83BD-E2ACE521747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499984740745262"/>
  </sheetPr>
  <dimension ref="A1:AI1048562"/>
  <sheetViews>
    <sheetView rightToLeft="1" zoomScaleNormal="100" workbookViewId="0">
      <selection activeCell="S17" sqref="S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0" width="3.5546875" style="1" customWidth="1"/>
    <col min="31" max="31" width="19.44140625" style="1" customWidth="1"/>
    <col min="32" max="32" width="16.33203125" style="1" customWidth="1"/>
    <col min="33" max="33" width="17.33203125" style="1" customWidth="1"/>
    <col min="34" max="34" width="14.5546875" style="1" customWidth="1"/>
    <col min="35" max="35" width="10.88671875" style="1" bestFit="1" customWidth="1"/>
    <col min="36" max="16384" width="8.88671875" style="1"/>
  </cols>
  <sheetData>
    <row r="1" spans="1:35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104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7"/>
      <c r="AF1" s="7"/>
      <c r="AG1" s="7"/>
      <c r="AH1" s="7"/>
    </row>
    <row r="2" spans="1:35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42" t="s">
        <v>99</v>
      </c>
      <c r="AF2" s="42" t="s">
        <v>100</v>
      </c>
      <c r="AG2" s="44" t="s">
        <v>97</v>
      </c>
      <c r="AH2" s="44" t="s">
        <v>98</v>
      </c>
      <c r="AI2" s="46" t="s">
        <v>103</v>
      </c>
    </row>
    <row r="3" spans="1:35" x14ac:dyDescent="0.3">
      <c r="A3" s="53"/>
      <c r="B3" s="53"/>
      <c r="C3" s="21">
        <f t="shared" ref="C3:AD3" si="0">DATE(2022,$P$1,COLUMN(A:A))</f>
        <v>44593</v>
      </c>
      <c r="D3" s="21">
        <f t="shared" si="0"/>
        <v>44594</v>
      </c>
      <c r="E3" s="23">
        <f t="shared" si="0"/>
        <v>44595</v>
      </c>
      <c r="F3" s="21">
        <f t="shared" si="0"/>
        <v>44596</v>
      </c>
      <c r="G3" s="21">
        <f t="shared" si="0"/>
        <v>44597</v>
      </c>
      <c r="H3" s="21">
        <f t="shared" si="0"/>
        <v>44598</v>
      </c>
      <c r="I3" s="21">
        <f t="shared" si="0"/>
        <v>44599</v>
      </c>
      <c r="J3" s="21">
        <f t="shared" si="0"/>
        <v>44600</v>
      </c>
      <c r="K3" s="21">
        <f t="shared" si="0"/>
        <v>44601</v>
      </c>
      <c r="L3" s="23">
        <f t="shared" si="0"/>
        <v>44602</v>
      </c>
      <c r="M3" s="21">
        <f t="shared" si="0"/>
        <v>44603</v>
      </c>
      <c r="N3" s="21">
        <f t="shared" si="0"/>
        <v>44604</v>
      </c>
      <c r="O3" s="21">
        <f t="shared" si="0"/>
        <v>44605</v>
      </c>
      <c r="P3" s="21">
        <f t="shared" si="0"/>
        <v>44606</v>
      </c>
      <c r="Q3" s="21">
        <f t="shared" si="0"/>
        <v>44607</v>
      </c>
      <c r="R3" s="21">
        <f t="shared" si="0"/>
        <v>44608</v>
      </c>
      <c r="S3" s="23">
        <f t="shared" si="0"/>
        <v>44609</v>
      </c>
      <c r="T3" s="21">
        <f t="shared" si="0"/>
        <v>44610</v>
      </c>
      <c r="U3" s="21">
        <f t="shared" si="0"/>
        <v>44611</v>
      </c>
      <c r="V3" s="21">
        <f t="shared" si="0"/>
        <v>44612</v>
      </c>
      <c r="W3" s="21">
        <f t="shared" si="0"/>
        <v>44613</v>
      </c>
      <c r="X3" s="21">
        <f t="shared" si="0"/>
        <v>44614</v>
      </c>
      <c r="Y3" s="21">
        <f t="shared" si="0"/>
        <v>44615</v>
      </c>
      <c r="Z3" s="23">
        <f t="shared" si="0"/>
        <v>44616</v>
      </c>
      <c r="AA3" s="21">
        <f t="shared" si="0"/>
        <v>44617</v>
      </c>
      <c r="AB3" s="21">
        <f t="shared" si="0"/>
        <v>44618</v>
      </c>
      <c r="AC3" s="21">
        <f t="shared" si="0"/>
        <v>44619</v>
      </c>
      <c r="AD3" s="21">
        <f t="shared" si="0"/>
        <v>44620</v>
      </c>
      <c r="AE3" s="43"/>
      <c r="AF3" s="43"/>
      <c r="AG3" s="45"/>
      <c r="AH3" s="45"/>
      <c r="AI3" s="47"/>
    </row>
    <row r="4" spans="1:35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28"/>
      <c r="AF4" s="29"/>
      <c r="AG4" s="13">
        <f t="shared" ref="AG4:AG35" si="1">COUNTIFS($C$3:$AD$3,"&gt;="&amp;AE4,$C$3:$AD$3,"&lt;="&amp;AF4,C4:AD4,"ح")</f>
        <v>0</v>
      </c>
      <c r="AH4" s="13">
        <f t="shared" ref="AH4:AH35" si="2">COUNTIFS($C$3:$AD$3,"&gt;="&amp;AE4,$C$3:$AD$3,"&lt;="&amp;AF4,C4:AD4,"غ")</f>
        <v>0</v>
      </c>
      <c r="AI4" s="26">
        <f>IF(AE4="",0,1)</f>
        <v>0</v>
      </c>
    </row>
    <row r="5" spans="1:35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28"/>
      <c r="AF5" s="29"/>
      <c r="AG5" s="13">
        <f t="shared" si="1"/>
        <v>0</v>
      </c>
      <c r="AH5" s="13">
        <f t="shared" si="2"/>
        <v>0</v>
      </c>
      <c r="AI5" s="26">
        <f t="shared" ref="AI5:AI68" si="3">IF(AE5="",0,1)</f>
        <v>0</v>
      </c>
    </row>
    <row r="6" spans="1:35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28"/>
      <c r="AF6" s="29"/>
      <c r="AG6" s="13">
        <f t="shared" si="1"/>
        <v>0</v>
      </c>
      <c r="AH6" s="13">
        <f t="shared" si="2"/>
        <v>0</v>
      </c>
      <c r="AI6" s="26">
        <f t="shared" si="3"/>
        <v>0</v>
      </c>
    </row>
    <row r="7" spans="1:35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28"/>
      <c r="AF7" s="29"/>
      <c r="AG7" s="13">
        <f t="shared" si="1"/>
        <v>0</v>
      </c>
      <c r="AH7" s="13">
        <f t="shared" si="2"/>
        <v>0</v>
      </c>
      <c r="AI7" s="26">
        <f t="shared" si="3"/>
        <v>0</v>
      </c>
    </row>
    <row r="8" spans="1:35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28"/>
      <c r="AF8" s="29"/>
      <c r="AG8" s="13">
        <f t="shared" si="1"/>
        <v>0</v>
      </c>
      <c r="AH8" s="13">
        <f t="shared" si="2"/>
        <v>0</v>
      </c>
      <c r="AI8" s="26">
        <f t="shared" si="3"/>
        <v>0</v>
      </c>
    </row>
    <row r="9" spans="1:35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28"/>
      <c r="AF9" s="29"/>
      <c r="AG9" s="13">
        <f t="shared" si="1"/>
        <v>0</v>
      </c>
      <c r="AH9" s="13">
        <f t="shared" si="2"/>
        <v>0</v>
      </c>
      <c r="AI9" s="26">
        <f t="shared" si="3"/>
        <v>0</v>
      </c>
    </row>
    <row r="10" spans="1:35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28"/>
      <c r="AF10" s="29"/>
      <c r="AG10" s="13">
        <f t="shared" si="1"/>
        <v>0</v>
      </c>
      <c r="AH10" s="13">
        <f t="shared" si="2"/>
        <v>0</v>
      </c>
      <c r="AI10" s="26">
        <f t="shared" si="3"/>
        <v>0</v>
      </c>
    </row>
    <row r="11" spans="1:35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28"/>
      <c r="AF11" s="29"/>
      <c r="AG11" s="13">
        <f t="shared" si="1"/>
        <v>0</v>
      </c>
      <c r="AH11" s="13">
        <f t="shared" si="2"/>
        <v>0</v>
      </c>
      <c r="AI11" s="26">
        <f t="shared" si="3"/>
        <v>0</v>
      </c>
    </row>
    <row r="12" spans="1:35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28"/>
      <c r="AF12" s="29"/>
      <c r="AG12" s="13">
        <f t="shared" si="1"/>
        <v>0</v>
      </c>
      <c r="AH12" s="13">
        <f t="shared" si="2"/>
        <v>0</v>
      </c>
      <c r="AI12" s="26">
        <f t="shared" si="3"/>
        <v>0</v>
      </c>
    </row>
    <row r="13" spans="1:35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28"/>
      <c r="AF13" s="29"/>
      <c r="AG13" s="13">
        <f t="shared" si="1"/>
        <v>0</v>
      </c>
      <c r="AH13" s="13">
        <f t="shared" si="2"/>
        <v>0</v>
      </c>
      <c r="AI13" s="26">
        <f t="shared" si="3"/>
        <v>0</v>
      </c>
    </row>
    <row r="14" spans="1:35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28"/>
      <c r="AF14" s="29"/>
      <c r="AG14" s="13">
        <f t="shared" si="1"/>
        <v>0</v>
      </c>
      <c r="AH14" s="13">
        <f t="shared" si="2"/>
        <v>0</v>
      </c>
      <c r="AI14" s="26">
        <f t="shared" si="3"/>
        <v>0</v>
      </c>
    </row>
    <row r="15" spans="1:35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28"/>
      <c r="AF15" s="29"/>
      <c r="AG15" s="13">
        <f t="shared" si="1"/>
        <v>0</v>
      </c>
      <c r="AH15" s="13">
        <f t="shared" si="2"/>
        <v>0</v>
      </c>
      <c r="AI15" s="26">
        <f t="shared" si="3"/>
        <v>0</v>
      </c>
    </row>
    <row r="16" spans="1:35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28"/>
      <c r="AF16" s="29"/>
      <c r="AG16" s="13">
        <f t="shared" si="1"/>
        <v>0</v>
      </c>
      <c r="AH16" s="13">
        <f t="shared" si="2"/>
        <v>0</v>
      </c>
      <c r="AI16" s="26">
        <f t="shared" si="3"/>
        <v>0</v>
      </c>
    </row>
    <row r="17" spans="1:35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28"/>
      <c r="AF17" s="29"/>
      <c r="AG17" s="13">
        <f t="shared" si="1"/>
        <v>0</v>
      </c>
      <c r="AH17" s="13">
        <f t="shared" si="2"/>
        <v>0</v>
      </c>
      <c r="AI17" s="26">
        <f t="shared" si="3"/>
        <v>0</v>
      </c>
    </row>
    <row r="18" spans="1:35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28"/>
      <c r="AF18" s="29"/>
      <c r="AG18" s="13">
        <f t="shared" si="1"/>
        <v>0</v>
      </c>
      <c r="AH18" s="13">
        <f t="shared" si="2"/>
        <v>0</v>
      </c>
      <c r="AI18" s="26">
        <f t="shared" si="3"/>
        <v>0</v>
      </c>
    </row>
    <row r="19" spans="1:35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28"/>
      <c r="AF19" s="29"/>
      <c r="AG19" s="13">
        <f t="shared" si="1"/>
        <v>0</v>
      </c>
      <c r="AH19" s="13">
        <f t="shared" si="2"/>
        <v>0</v>
      </c>
      <c r="AI19" s="26">
        <f t="shared" si="3"/>
        <v>0</v>
      </c>
    </row>
    <row r="20" spans="1:35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28"/>
      <c r="AF20" s="29"/>
      <c r="AG20" s="13">
        <f t="shared" si="1"/>
        <v>0</v>
      </c>
      <c r="AH20" s="13">
        <f t="shared" si="2"/>
        <v>0</v>
      </c>
      <c r="AI20" s="26">
        <f t="shared" si="3"/>
        <v>0</v>
      </c>
    </row>
    <row r="21" spans="1:35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28"/>
      <c r="AF21" s="29"/>
      <c r="AG21" s="13">
        <f t="shared" si="1"/>
        <v>0</v>
      </c>
      <c r="AH21" s="13">
        <f t="shared" si="2"/>
        <v>0</v>
      </c>
      <c r="AI21" s="26">
        <f t="shared" si="3"/>
        <v>0</v>
      </c>
    </row>
    <row r="22" spans="1:35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28"/>
      <c r="AF22" s="29"/>
      <c r="AG22" s="13">
        <f t="shared" si="1"/>
        <v>0</v>
      </c>
      <c r="AH22" s="13">
        <f t="shared" si="2"/>
        <v>0</v>
      </c>
      <c r="AI22" s="26">
        <f t="shared" si="3"/>
        <v>0</v>
      </c>
    </row>
    <row r="23" spans="1:35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28"/>
      <c r="AF23" s="29"/>
      <c r="AG23" s="13">
        <f t="shared" si="1"/>
        <v>0</v>
      </c>
      <c r="AH23" s="13">
        <f t="shared" si="2"/>
        <v>0</v>
      </c>
      <c r="AI23" s="26">
        <f t="shared" si="3"/>
        <v>0</v>
      </c>
    </row>
    <row r="24" spans="1:35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28"/>
      <c r="AF24" s="29"/>
      <c r="AG24" s="13">
        <f t="shared" si="1"/>
        <v>0</v>
      </c>
      <c r="AH24" s="13">
        <f t="shared" si="2"/>
        <v>0</v>
      </c>
      <c r="AI24" s="26">
        <f t="shared" si="3"/>
        <v>0</v>
      </c>
    </row>
    <row r="25" spans="1:35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28"/>
      <c r="AF25" s="29"/>
      <c r="AG25" s="13">
        <f t="shared" si="1"/>
        <v>0</v>
      </c>
      <c r="AH25" s="13">
        <f t="shared" si="2"/>
        <v>0</v>
      </c>
      <c r="AI25" s="26">
        <f t="shared" si="3"/>
        <v>0</v>
      </c>
    </row>
    <row r="26" spans="1:35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28"/>
      <c r="AF26" s="29"/>
      <c r="AG26" s="13">
        <f t="shared" si="1"/>
        <v>0</v>
      </c>
      <c r="AH26" s="13">
        <f t="shared" si="2"/>
        <v>0</v>
      </c>
      <c r="AI26" s="26">
        <f t="shared" si="3"/>
        <v>0</v>
      </c>
    </row>
    <row r="27" spans="1:35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28"/>
      <c r="AF27" s="29"/>
      <c r="AG27" s="13">
        <f t="shared" si="1"/>
        <v>0</v>
      </c>
      <c r="AH27" s="13">
        <f t="shared" si="2"/>
        <v>0</v>
      </c>
      <c r="AI27" s="26">
        <f t="shared" si="3"/>
        <v>0</v>
      </c>
    </row>
    <row r="28" spans="1:35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28"/>
      <c r="AF28" s="29"/>
      <c r="AG28" s="13">
        <f t="shared" si="1"/>
        <v>0</v>
      </c>
      <c r="AH28" s="13">
        <f t="shared" si="2"/>
        <v>0</v>
      </c>
      <c r="AI28" s="26">
        <f t="shared" si="3"/>
        <v>0</v>
      </c>
    </row>
    <row r="29" spans="1:35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28"/>
      <c r="AF29" s="29"/>
      <c r="AG29" s="13">
        <f t="shared" si="1"/>
        <v>0</v>
      </c>
      <c r="AH29" s="13">
        <f t="shared" si="2"/>
        <v>0</v>
      </c>
      <c r="AI29" s="26">
        <f t="shared" si="3"/>
        <v>0</v>
      </c>
    </row>
    <row r="30" spans="1:35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28"/>
      <c r="AF30" s="29"/>
      <c r="AG30" s="13">
        <f t="shared" si="1"/>
        <v>0</v>
      </c>
      <c r="AH30" s="13">
        <f t="shared" si="2"/>
        <v>0</v>
      </c>
      <c r="AI30" s="26">
        <f t="shared" si="3"/>
        <v>0</v>
      </c>
    </row>
    <row r="31" spans="1:35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28"/>
      <c r="AF31" s="29"/>
      <c r="AG31" s="13">
        <f t="shared" si="1"/>
        <v>0</v>
      </c>
      <c r="AH31" s="13">
        <f t="shared" si="2"/>
        <v>0</v>
      </c>
      <c r="AI31" s="26">
        <f t="shared" si="3"/>
        <v>0</v>
      </c>
    </row>
    <row r="32" spans="1:35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28"/>
      <c r="AF32" s="29"/>
      <c r="AG32" s="13">
        <f t="shared" si="1"/>
        <v>0</v>
      </c>
      <c r="AH32" s="13">
        <f t="shared" si="2"/>
        <v>0</v>
      </c>
      <c r="AI32" s="26">
        <f t="shared" si="3"/>
        <v>0</v>
      </c>
    </row>
    <row r="33" spans="1:35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28"/>
      <c r="AF33" s="29"/>
      <c r="AG33" s="13">
        <f t="shared" si="1"/>
        <v>0</v>
      </c>
      <c r="AH33" s="13">
        <f t="shared" si="2"/>
        <v>0</v>
      </c>
      <c r="AI33" s="26">
        <f t="shared" si="3"/>
        <v>0</v>
      </c>
    </row>
    <row r="34" spans="1:35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28"/>
      <c r="AF34" s="29"/>
      <c r="AG34" s="13">
        <f t="shared" si="1"/>
        <v>0</v>
      </c>
      <c r="AH34" s="13">
        <f t="shared" si="2"/>
        <v>0</v>
      </c>
      <c r="AI34" s="26">
        <f t="shared" si="3"/>
        <v>0</v>
      </c>
    </row>
    <row r="35" spans="1:35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28"/>
      <c r="AF35" s="29"/>
      <c r="AG35" s="13">
        <f t="shared" si="1"/>
        <v>0</v>
      </c>
      <c r="AH35" s="13">
        <f t="shared" si="2"/>
        <v>0</v>
      </c>
      <c r="AI35" s="26">
        <f t="shared" si="3"/>
        <v>0</v>
      </c>
    </row>
    <row r="36" spans="1:35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28"/>
      <c r="AF36" s="29"/>
      <c r="AG36" s="13">
        <f t="shared" ref="AG36:AG67" si="4">COUNTIFS($C$3:$AD$3,"&gt;="&amp;AE36,$C$3:$AD$3,"&lt;="&amp;AF36,C36:AD36,"ح")</f>
        <v>0</v>
      </c>
      <c r="AH36" s="13">
        <f t="shared" ref="AH36:AH67" si="5">COUNTIFS($C$3:$AD$3,"&gt;="&amp;AE36,$C$3:$AD$3,"&lt;="&amp;AF36,C36:AD36,"غ")</f>
        <v>0</v>
      </c>
      <c r="AI36" s="26">
        <f t="shared" si="3"/>
        <v>0</v>
      </c>
    </row>
    <row r="37" spans="1:35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28"/>
      <c r="AF37" s="29"/>
      <c r="AG37" s="13">
        <f t="shared" si="4"/>
        <v>0</v>
      </c>
      <c r="AH37" s="13">
        <f t="shared" si="5"/>
        <v>0</v>
      </c>
      <c r="AI37" s="26">
        <f t="shared" si="3"/>
        <v>0</v>
      </c>
    </row>
    <row r="38" spans="1:35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28"/>
      <c r="AF38" s="29"/>
      <c r="AG38" s="13">
        <f t="shared" si="4"/>
        <v>0</v>
      </c>
      <c r="AH38" s="13">
        <f t="shared" si="5"/>
        <v>0</v>
      </c>
      <c r="AI38" s="26">
        <f t="shared" si="3"/>
        <v>0</v>
      </c>
    </row>
    <row r="39" spans="1:35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28"/>
      <c r="AF39" s="29"/>
      <c r="AG39" s="13">
        <f t="shared" si="4"/>
        <v>0</v>
      </c>
      <c r="AH39" s="13">
        <f t="shared" si="5"/>
        <v>0</v>
      </c>
      <c r="AI39" s="26">
        <f t="shared" si="3"/>
        <v>0</v>
      </c>
    </row>
    <row r="40" spans="1:35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28"/>
      <c r="AF40" s="29"/>
      <c r="AG40" s="13">
        <f t="shared" si="4"/>
        <v>0</v>
      </c>
      <c r="AH40" s="13">
        <f t="shared" si="5"/>
        <v>0</v>
      </c>
      <c r="AI40" s="26">
        <f t="shared" si="3"/>
        <v>0</v>
      </c>
    </row>
    <row r="41" spans="1:35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28"/>
      <c r="AF41" s="29"/>
      <c r="AG41" s="13">
        <f t="shared" si="4"/>
        <v>0</v>
      </c>
      <c r="AH41" s="13">
        <f t="shared" si="5"/>
        <v>0</v>
      </c>
      <c r="AI41" s="26">
        <f t="shared" si="3"/>
        <v>0</v>
      </c>
    </row>
    <row r="42" spans="1:35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28"/>
      <c r="AF42" s="29"/>
      <c r="AG42" s="13">
        <f t="shared" si="4"/>
        <v>0</v>
      </c>
      <c r="AH42" s="13">
        <f t="shared" si="5"/>
        <v>0</v>
      </c>
      <c r="AI42" s="26">
        <f t="shared" si="3"/>
        <v>0</v>
      </c>
    </row>
    <row r="43" spans="1:35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28"/>
      <c r="AF43" s="29"/>
      <c r="AG43" s="13">
        <f t="shared" si="4"/>
        <v>0</v>
      </c>
      <c r="AH43" s="13">
        <f t="shared" si="5"/>
        <v>0</v>
      </c>
      <c r="AI43" s="26">
        <f t="shared" si="3"/>
        <v>0</v>
      </c>
    </row>
    <row r="44" spans="1:35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28"/>
      <c r="AF44" s="29"/>
      <c r="AG44" s="13">
        <f t="shared" si="4"/>
        <v>0</v>
      </c>
      <c r="AH44" s="13">
        <f t="shared" si="5"/>
        <v>0</v>
      </c>
      <c r="AI44" s="26">
        <f t="shared" si="3"/>
        <v>0</v>
      </c>
    </row>
    <row r="45" spans="1:35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28"/>
      <c r="AF45" s="29"/>
      <c r="AG45" s="13">
        <f t="shared" si="4"/>
        <v>0</v>
      </c>
      <c r="AH45" s="13">
        <f t="shared" si="5"/>
        <v>0</v>
      </c>
      <c r="AI45" s="26">
        <f t="shared" si="3"/>
        <v>0</v>
      </c>
    </row>
    <row r="46" spans="1:35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28"/>
      <c r="AF46" s="29"/>
      <c r="AG46" s="13">
        <f t="shared" si="4"/>
        <v>0</v>
      </c>
      <c r="AH46" s="13">
        <f t="shared" si="5"/>
        <v>0</v>
      </c>
      <c r="AI46" s="26">
        <f t="shared" si="3"/>
        <v>0</v>
      </c>
    </row>
    <row r="47" spans="1:35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28"/>
      <c r="AF47" s="29"/>
      <c r="AG47" s="13">
        <f t="shared" si="4"/>
        <v>0</v>
      </c>
      <c r="AH47" s="13">
        <f t="shared" si="5"/>
        <v>0</v>
      </c>
      <c r="AI47" s="26">
        <f t="shared" si="3"/>
        <v>0</v>
      </c>
    </row>
    <row r="48" spans="1:35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28"/>
      <c r="AF48" s="29"/>
      <c r="AG48" s="13">
        <f t="shared" si="4"/>
        <v>0</v>
      </c>
      <c r="AH48" s="13">
        <f t="shared" si="5"/>
        <v>0</v>
      </c>
      <c r="AI48" s="26">
        <f t="shared" si="3"/>
        <v>0</v>
      </c>
    </row>
    <row r="49" spans="1:35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28"/>
      <c r="AF49" s="29"/>
      <c r="AG49" s="13">
        <f t="shared" si="4"/>
        <v>0</v>
      </c>
      <c r="AH49" s="13">
        <f t="shared" si="5"/>
        <v>0</v>
      </c>
      <c r="AI49" s="26">
        <f t="shared" si="3"/>
        <v>0</v>
      </c>
    </row>
    <row r="50" spans="1:35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28"/>
      <c r="AF50" s="29"/>
      <c r="AG50" s="13">
        <f t="shared" si="4"/>
        <v>0</v>
      </c>
      <c r="AH50" s="13">
        <f t="shared" si="5"/>
        <v>0</v>
      </c>
      <c r="AI50" s="26">
        <f t="shared" si="3"/>
        <v>0</v>
      </c>
    </row>
    <row r="51" spans="1:35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28"/>
      <c r="AF51" s="29"/>
      <c r="AG51" s="13">
        <f t="shared" si="4"/>
        <v>0</v>
      </c>
      <c r="AH51" s="13">
        <f t="shared" si="5"/>
        <v>0</v>
      </c>
      <c r="AI51" s="26">
        <f t="shared" si="3"/>
        <v>0</v>
      </c>
    </row>
    <row r="52" spans="1:35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28"/>
      <c r="AF52" s="29"/>
      <c r="AG52" s="13">
        <f t="shared" si="4"/>
        <v>0</v>
      </c>
      <c r="AH52" s="13">
        <f t="shared" si="5"/>
        <v>0</v>
      </c>
      <c r="AI52" s="26">
        <f t="shared" si="3"/>
        <v>0</v>
      </c>
    </row>
    <row r="53" spans="1:35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28"/>
      <c r="AF53" s="29"/>
      <c r="AG53" s="13">
        <f t="shared" si="4"/>
        <v>0</v>
      </c>
      <c r="AH53" s="13">
        <f t="shared" si="5"/>
        <v>0</v>
      </c>
      <c r="AI53" s="26">
        <f t="shared" si="3"/>
        <v>0</v>
      </c>
    </row>
    <row r="54" spans="1:35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28"/>
      <c r="AF54" s="29"/>
      <c r="AG54" s="13">
        <f t="shared" si="4"/>
        <v>0</v>
      </c>
      <c r="AH54" s="13">
        <f t="shared" si="5"/>
        <v>0</v>
      </c>
      <c r="AI54" s="26">
        <f t="shared" si="3"/>
        <v>0</v>
      </c>
    </row>
    <row r="55" spans="1:35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28"/>
      <c r="AF55" s="29"/>
      <c r="AG55" s="13">
        <f t="shared" si="4"/>
        <v>0</v>
      </c>
      <c r="AH55" s="13">
        <f t="shared" si="5"/>
        <v>0</v>
      </c>
      <c r="AI55" s="26">
        <f t="shared" si="3"/>
        <v>0</v>
      </c>
    </row>
    <row r="56" spans="1:35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28"/>
      <c r="AF56" s="29"/>
      <c r="AG56" s="13">
        <f t="shared" si="4"/>
        <v>0</v>
      </c>
      <c r="AH56" s="13">
        <f t="shared" si="5"/>
        <v>0</v>
      </c>
      <c r="AI56" s="26">
        <f t="shared" si="3"/>
        <v>0</v>
      </c>
    </row>
    <row r="57" spans="1:35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28"/>
      <c r="AF57" s="29"/>
      <c r="AG57" s="13">
        <f t="shared" si="4"/>
        <v>0</v>
      </c>
      <c r="AH57" s="13">
        <f t="shared" si="5"/>
        <v>0</v>
      </c>
      <c r="AI57" s="26">
        <f t="shared" si="3"/>
        <v>0</v>
      </c>
    </row>
    <row r="58" spans="1:35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28"/>
      <c r="AF58" s="29"/>
      <c r="AG58" s="13">
        <f t="shared" si="4"/>
        <v>0</v>
      </c>
      <c r="AH58" s="13">
        <f t="shared" si="5"/>
        <v>0</v>
      </c>
      <c r="AI58" s="26">
        <f t="shared" si="3"/>
        <v>0</v>
      </c>
    </row>
    <row r="59" spans="1:35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28"/>
      <c r="AF59" s="29"/>
      <c r="AG59" s="13">
        <f t="shared" si="4"/>
        <v>0</v>
      </c>
      <c r="AH59" s="13">
        <f t="shared" si="5"/>
        <v>0</v>
      </c>
      <c r="AI59" s="26">
        <f t="shared" si="3"/>
        <v>0</v>
      </c>
    </row>
    <row r="60" spans="1:35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28"/>
      <c r="AF60" s="29"/>
      <c r="AG60" s="13">
        <f t="shared" si="4"/>
        <v>0</v>
      </c>
      <c r="AH60" s="13">
        <f t="shared" si="5"/>
        <v>0</v>
      </c>
      <c r="AI60" s="26">
        <f t="shared" si="3"/>
        <v>0</v>
      </c>
    </row>
    <row r="61" spans="1:35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28"/>
      <c r="AF61" s="29"/>
      <c r="AG61" s="13">
        <f t="shared" si="4"/>
        <v>0</v>
      </c>
      <c r="AH61" s="13">
        <f t="shared" si="5"/>
        <v>0</v>
      </c>
      <c r="AI61" s="26">
        <f t="shared" si="3"/>
        <v>0</v>
      </c>
    </row>
    <row r="62" spans="1:35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28"/>
      <c r="AF62" s="29"/>
      <c r="AG62" s="13">
        <f t="shared" si="4"/>
        <v>0</v>
      </c>
      <c r="AH62" s="13">
        <f t="shared" si="5"/>
        <v>0</v>
      </c>
      <c r="AI62" s="26">
        <f t="shared" si="3"/>
        <v>0</v>
      </c>
    </row>
    <row r="63" spans="1:35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28"/>
      <c r="AF63" s="29"/>
      <c r="AG63" s="13">
        <f t="shared" si="4"/>
        <v>0</v>
      </c>
      <c r="AH63" s="13">
        <f t="shared" si="5"/>
        <v>0</v>
      </c>
      <c r="AI63" s="26">
        <f t="shared" si="3"/>
        <v>0</v>
      </c>
    </row>
    <row r="64" spans="1:35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28"/>
      <c r="AF64" s="29"/>
      <c r="AG64" s="13">
        <f t="shared" si="4"/>
        <v>0</v>
      </c>
      <c r="AH64" s="13">
        <f t="shared" si="5"/>
        <v>0</v>
      </c>
      <c r="AI64" s="26">
        <f t="shared" si="3"/>
        <v>0</v>
      </c>
    </row>
    <row r="65" spans="1:35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28"/>
      <c r="AF65" s="29"/>
      <c r="AG65" s="13">
        <f t="shared" si="4"/>
        <v>0</v>
      </c>
      <c r="AH65" s="13">
        <f t="shared" si="5"/>
        <v>0</v>
      </c>
      <c r="AI65" s="26">
        <f t="shared" si="3"/>
        <v>0</v>
      </c>
    </row>
    <row r="66" spans="1:35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28"/>
      <c r="AF66" s="29"/>
      <c r="AG66" s="13">
        <f t="shared" si="4"/>
        <v>0</v>
      </c>
      <c r="AH66" s="13">
        <f t="shared" si="5"/>
        <v>0</v>
      </c>
      <c r="AI66" s="26">
        <f t="shared" si="3"/>
        <v>0</v>
      </c>
    </row>
    <row r="67" spans="1:35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28"/>
      <c r="AF67" s="29"/>
      <c r="AG67" s="13">
        <f t="shared" si="4"/>
        <v>0</v>
      </c>
      <c r="AH67" s="13">
        <f t="shared" si="5"/>
        <v>0</v>
      </c>
      <c r="AI67" s="26">
        <f t="shared" si="3"/>
        <v>0</v>
      </c>
    </row>
    <row r="68" spans="1:35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28"/>
      <c r="AF68" s="29"/>
      <c r="AG68" s="13">
        <f t="shared" ref="AG68:AG84" si="6">COUNTIFS($C$3:$AD$3,"&gt;="&amp;AE68,$C$3:$AD$3,"&lt;="&amp;AF68,C68:AD68,"ح")</f>
        <v>0</v>
      </c>
      <c r="AH68" s="13">
        <f t="shared" ref="AH68:AH84" si="7">COUNTIFS($C$3:$AD$3,"&gt;="&amp;AE68,$C$3:$AD$3,"&lt;="&amp;AF68,C68:AD68,"غ")</f>
        <v>0</v>
      </c>
      <c r="AI68" s="26">
        <f t="shared" si="3"/>
        <v>0</v>
      </c>
    </row>
    <row r="69" spans="1:35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28"/>
      <c r="AF69" s="29"/>
      <c r="AG69" s="13">
        <f t="shared" si="6"/>
        <v>0</v>
      </c>
      <c r="AH69" s="13">
        <f t="shared" si="7"/>
        <v>0</v>
      </c>
      <c r="AI69" s="26">
        <f t="shared" ref="AI69:AI84" si="8">IF(AE69="",0,1)</f>
        <v>0</v>
      </c>
    </row>
    <row r="70" spans="1:35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28"/>
      <c r="AF70" s="29"/>
      <c r="AG70" s="13">
        <f t="shared" si="6"/>
        <v>0</v>
      </c>
      <c r="AH70" s="13">
        <f t="shared" si="7"/>
        <v>0</v>
      </c>
      <c r="AI70" s="26">
        <f t="shared" si="8"/>
        <v>0</v>
      </c>
    </row>
    <row r="71" spans="1:35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28"/>
      <c r="AF71" s="29"/>
      <c r="AG71" s="13">
        <f t="shared" si="6"/>
        <v>0</v>
      </c>
      <c r="AH71" s="13">
        <f t="shared" si="7"/>
        <v>0</v>
      </c>
      <c r="AI71" s="26">
        <f t="shared" si="8"/>
        <v>0</v>
      </c>
    </row>
    <row r="72" spans="1:35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28"/>
      <c r="AF72" s="29"/>
      <c r="AG72" s="13">
        <f t="shared" si="6"/>
        <v>0</v>
      </c>
      <c r="AH72" s="13">
        <f t="shared" si="7"/>
        <v>0</v>
      </c>
      <c r="AI72" s="26">
        <f t="shared" si="8"/>
        <v>0</v>
      </c>
    </row>
    <row r="73" spans="1:35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28"/>
      <c r="AF73" s="29"/>
      <c r="AG73" s="13">
        <f t="shared" si="6"/>
        <v>0</v>
      </c>
      <c r="AH73" s="13">
        <f t="shared" si="7"/>
        <v>0</v>
      </c>
      <c r="AI73" s="26">
        <f t="shared" si="8"/>
        <v>0</v>
      </c>
    </row>
    <row r="74" spans="1:35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28"/>
      <c r="AF74" s="29"/>
      <c r="AG74" s="13">
        <f t="shared" si="6"/>
        <v>0</v>
      </c>
      <c r="AH74" s="13">
        <f t="shared" si="7"/>
        <v>0</v>
      </c>
      <c r="AI74" s="26">
        <f t="shared" si="8"/>
        <v>0</v>
      </c>
    </row>
    <row r="75" spans="1:35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28"/>
      <c r="AF75" s="29"/>
      <c r="AG75" s="13">
        <f t="shared" si="6"/>
        <v>0</v>
      </c>
      <c r="AH75" s="13">
        <f t="shared" si="7"/>
        <v>0</v>
      </c>
      <c r="AI75" s="26">
        <f t="shared" si="8"/>
        <v>0</v>
      </c>
    </row>
    <row r="76" spans="1:35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28"/>
      <c r="AF76" s="29"/>
      <c r="AG76" s="13">
        <f t="shared" si="6"/>
        <v>0</v>
      </c>
      <c r="AH76" s="13">
        <f t="shared" si="7"/>
        <v>0</v>
      </c>
      <c r="AI76" s="26">
        <f t="shared" si="8"/>
        <v>0</v>
      </c>
    </row>
    <row r="77" spans="1:35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28"/>
      <c r="AF77" s="29"/>
      <c r="AG77" s="13">
        <f t="shared" si="6"/>
        <v>0</v>
      </c>
      <c r="AH77" s="13">
        <f t="shared" si="7"/>
        <v>0</v>
      </c>
      <c r="AI77" s="26">
        <f t="shared" si="8"/>
        <v>0</v>
      </c>
    </row>
    <row r="78" spans="1:35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28"/>
      <c r="AF78" s="29"/>
      <c r="AG78" s="13">
        <f t="shared" si="6"/>
        <v>0</v>
      </c>
      <c r="AH78" s="13">
        <f t="shared" si="7"/>
        <v>0</v>
      </c>
      <c r="AI78" s="26">
        <f t="shared" si="8"/>
        <v>0</v>
      </c>
    </row>
    <row r="79" spans="1:35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28"/>
      <c r="AF79" s="29"/>
      <c r="AG79" s="13">
        <f t="shared" si="6"/>
        <v>0</v>
      </c>
      <c r="AH79" s="13">
        <f t="shared" si="7"/>
        <v>0</v>
      </c>
      <c r="AI79" s="26">
        <f t="shared" si="8"/>
        <v>0</v>
      </c>
    </row>
    <row r="80" spans="1:35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28"/>
      <c r="AF80" s="29"/>
      <c r="AG80" s="13">
        <f t="shared" si="6"/>
        <v>0</v>
      </c>
      <c r="AH80" s="13">
        <f t="shared" si="7"/>
        <v>0</v>
      </c>
      <c r="AI80" s="26">
        <f t="shared" si="8"/>
        <v>0</v>
      </c>
    </row>
    <row r="81" spans="1:35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28"/>
      <c r="AF81" s="29"/>
      <c r="AG81" s="13">
        <f t="shared" si="6"/>
        <v>0</v>
      </c>
      <c r="AH81" s="13">
        <f t="shared" si="7"/>
        <v>0</v>
      </c>
      <c r="AI81" s="26">
        <f t="shared" si="8"/>
        <v>0</v>
      </c>
    </row>
    <row r="82" spans="1:35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28"/>
      <c r="AF82" s="29"/>
      <c r="AG82" s="13">
        <f t="shared" si="6"/>
        <v>0</v>
      </c>
      <c r="AH82" s="13">
        <f t="shared" si="7"/>
        <v>0</v>
      </c>
      <c r="AI82" s="26">
        <f t="shared" si="8"/>
        <v>0</v>
      </c>
    </row>
    <row r="83" spans="1:35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28"/>
      <c r="AF83" s="29"/>
      <c r="AG83" s="13">
        <f t="shared" si="6"/>
        <v>0</v>
      </c>
      <c r="AH83" s="13">
        <f t="shared" si="7"/>
        <v>0</v>
      </c>
      <c r="AI83" s="26">
        <f t="shared" si="8"/>
        <v>0</v>
      </c>
    </row>
    <row r="84" spans="1:35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28"/>
      <c r="AF84" s="29"/>
      <c r="AG84" s="13">
        <f t="shared" si="6"/>
        <v>0</v>
      </c>
      <c r="AH84" s="13">
        <f t="shared" si="7"/>
        <v>0</v>
      </c>
      <c r="AI84" s="26">
        <f t="shared" si="8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E2:AE3"/>
    <mergeCell ref="AF2:AF3"/>
    <mergeCell ref="AG2:AG3"/>
    <mergeCell ref="AH2:AH3"/>
    <mergeCell ref="AI2:AI3"/>
  </mergeCells>
  <conditionalFormatting sqref="C4:AD84">
    <cfRule type="cellIs" dxfId="109" priority="1" operator="equal">
      <formula>"م"</formula>
    </cfRule>
    <cfRule type="cellIs" dxfId="108" priority="2" operator="equal">
      <formula>"ح"</formula>
    </cfRule>
    <cfRule type="cellIs" dxfId="107" priority="3" operator="equal">
      <formula>"غ"</formula>
    </cfRule>
    <cfRule type="cellIs" dxfId="106" priority="4" operator="equal">
      <formula>"م"</formula>
    </cfRule>
    <cfRule type="cellIs" dxfId="105" priority="5" operator="equal">
      <formula>"ح"</formula>
    </cfRule>
  </conditionalFormatting>
  <conditionalFormatting sqref="AH4:AH84 AH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{8B163A04-F0ED-43E6-851B-CF186272F35E}</x14:id>
        </ext>
      </extLst>
    </cfRule>
  </conditionalFormatting>
  <conditionalFormatting sqref="AG4:AG84 AG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{68C43065-E940-4985-9331-8C96314A6FFD}</x14:id>
        </ext>
      </extLst>
    </cfRule>
  </conditionalFormatting>
  <conditionalFormatting sqref="AI4:AI84">
    <cfRule type="iconSet" priority="8">
      <iconSet>
        <cfvo type="percent" val="0"/>
        <cfvo type="percent" val="33"/>
        <cfvo type="percent" val="67"/>
      </iconSet>
    </cfRule>
  </conditionalFormatting>
  <conditionalFormatting sqref="AI4:AI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163A04-F0ED-43E6-851B-CF186272F35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AH4:AH84 AH2</xm:sqref>
        </x14:conditionalFormatting>
        <x14:conditionalFormatting xmlns:xm="http://schemas.microsoft.com/office/excel/2006/main">
          <x14:cfRule type="dataBar" id="{68C43065-E940-4985-9331-8C96314A6F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AG4:AG84 AG2</xm:sqref>
        </x14:conditionalFormatting>
        <x14:conditionalFormatting xmlns:xm="http://schemas.microsoft.com/office/excel/2006/main">
          <x14:cfRule type="iconSet" priority="10" id="{AE1EC527-4F3B-4C98-B038-320FA860C6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AI4:AI84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3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44621</v>
      </c>
      <c r="D3" s="21">
        <f t="shared" ref="D3" si="1">DATE(2022,$P$1,COLUMN(B:B))</f>
        <v>44622</v>
      </c>
      <c r="E3" s="21">
        <f t="shared" ref="E3" si="2">DATE(2022,$P$1,COLUMN(C:C))</f>
        <v>44623</v>
      </c>
      <c r="F3" s="21">
        <f t="shared" ref="F3" si="3">DATE(2022,$P$1,COLUMN(D:D))</f>
        <v>44624</v>
      </c>
      <c r="G3" s="21">
        <f t="shared" ref="G3" si="4">DATE(2022,$P$1,COLUMN(E:E))</f>
        <v>44625</v>
      </c>
      <c r="H3" s="21">
        <f t="shared" ref="H3" si="5">DATE(2022,$P$1,COLUMN(F:F))</f>
        <v>44626</v>
      </c>
      <c r="I3" s="21">
        <f t="shared" ref="I3" si="6">DATE(2022,$P$1,COLUMN(G:G))</f>
        <v>44627</v>
      </c>
      <c r="J3" s="21">
        <f t="shared" ref="J3" si="7">DATE(2022,$P$1,COLUMN(H:H))</f>
        <v>44628</v>
      </c>
      <c r="K3" s="21">
        <f t="shared" ref="K3" si="8">DATE(2022,$P$1,COLUMN(I:I))</f>
        <v>44629</v>
      </c>
      <c r="L3" s="21">
        <f t="shared" ref="L3" si="9">DATE(2022,$P$1,COLUMN(J:J))</f>
        <v>44630</v>
      </c>
      <c r="M3" s="21">
        <f t="shared" ref="M3" si="10">DATE(2022,$P$1,COLUMN(K:K))</f>
        <v>44631</v>
      </c>
      <c r="N3" s="21">
        <f t="shared" ref="N3" si="11">DATE(2022,$P$1,COLUMN(L:L))</f>
        <v>44632</v>
      </c>
      <c r="O3" s="21">
        <f t="shared" ref="O3" si="12">DATE(2022,$P$1,COLUMN(M:M))</f>
        <v>44633</v>
      </c>
      <c r="P3" s="21">
        <f t="shared" ref="P3" si="13">DATE(2022,$P$1,COLUMN(N:N))</f>
        <v>44634</v>
      </c>
      <c r="Q3" s="21">
        <f t="shared" ref="Q3" si="14">DATE(2022,$P$1,COLUMN(O:O))</f>
        <v>44635</v>
      </c>
      <c r="R3" s="21">
        <f t="shared" ref="R3" si="15">DATE(2022,$P$1,COLUMN(P:P))</f>
        <v>44636</v>
      </c>
      <c r="S3" s="21">
        <f t="shared" ref="S3" si="16">DATE(2022,$P$1,COLUMN(Q:Q))</f>
        <v>44637</v>
      </c>
      <c r="T3" s="21">
        <f t="shared" ref="T3" si="17">DATE(2022,$P$1,COLUMN(R:R))</f>
        <v>44638</v>
      </c>
      <c r="U3" s="21">
        <f t="shared" ref="U3" si="18">DATE(2022,$P$1,COLUMN(S:S))</f>
        <v>44639</v>
      </c>
      <c r="V3" s="21">
        <f t="shared" ref="V3" si="19">DATE(2022,$P$1,COLUMN(T:T))</f>
        <v>44640</v>
      </c>
      <c r="W3" s="21">
        <f t="shared" ref="W3" si="20">DATE(2022,$P$1,COLUMN(U:U))</f>
        <v>44641</v>
      </c>
      <c r="X3" s="21">
        <f t="shared" ref="X3" si="21">DATE(2022,$P$1,COLUMN(V:V))</f>
        <v>44642</v>
      </c>
      <c r="Y3" s="21">
        <f t="shared" ref="Y3" si="22">DATE(2022,$P$1,COLUMN(W:W))</f>
        <v>44643</v>
      </c>
      <c r="Z3" s="21">
        <f t="shared" ref="Z3" si="23">DATE(2022,$P$1,COLUMN(X:X))</f>
        <v>44644</v>
      </c>
      <c r="AA3" s="21">
        <f t="shared" ref="AA3" si="24">DATE(2022,$P$1,COLUMN(Y:Y))</f>
        <v>44645</v>
      </c>
      <c r="AB3" s="21">
        <f t="shared" ref="AB3" si="25">DATE(2022,$P$1,COLUMN(Z:Z))</f>
        <v>44646</v>
      </c>
      <c r="AC3" s="21">
        <f t="shared" ref="AC3" si="26">DATE(2022,$P$1,COLUMN(AA:AA))</f>
        <v>44647</v>
      </c>
      <c r="AD3" s="21">
        <f t="shared" ref="AD3" si="27">DATE(2022,$P$1,COLUMN(AB:AB))</f>
        <v>44648</v>
      </c>
      <c r="AE3" s="21">
        <f t="shared" ref="AE3" si="28">DATE(2022,$P$1,COLUMN(AC:AC))</f>
        <v>44649</v>
      </c>
      <c r="AF3" s="21">
        <f t="shared" ref="AF3" si="29">DATE(2022,$P$1,COLUMN(AD:AD))</f>
        <v>44650</v>
      </c>
      <c r="AG3" s="21">
        <f t="shared" ref="AG3" si="30">DATE(2022,$P$1,COLUMN(AE:AE))</f>
        <v>44651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104" priority="1" operator="equal">
      <formula>"م"</formula>
    </cfRule>
    <cfRule type="cellIs" dxfId="103" priority="2" operator="equal">
      <formula>"ح"</formula>
    </cfRule>
    <cfRule type="cellIs" dxfId="102" priority="3" operator="equal">
      <formula>"غ"</formula>
    </cfRule>
    <cfRule type="cellIs" dxfId="101" priority="4" operator="equal">
      <formula>"م"</formula>
    </cfRule>
    <cfRule type="cellIs" dxfId="10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{DB5B03B5-6DD5-4454-8064-186208B86645}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{29B994AB-9C2C-42FF-A98F-5317A0D9E3DA}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B03B5-6DD5-4454-8064-186208B866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29B994AB-9C2C-42FF-A98F-5317A0D9E3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9716B57-62F2-4E35-85E6-91375AB6BD7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105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44652</v>
      </c>
      <c r="D3" s="21">
        <f t="shared" si="0"/>
        <v>44653</v>
      </c>
      <c r="E3" s="23">
        <f t="shared" si="0"/>
        <v>44654</v>
      </c>
      <c r="F3" s="21">
        <f t="shared" si="0"/>
        <v>44655</v>
      </c>
      <c r="G3" s="21">
        <f t="shared" si="0"/>
        <v>44656</v>
      </c>
      <c r="H3" s="21">
        <f t="shared" si="0"/>
        <v>44657</v>
      </c>
      <c r="I3" s="21">
        <f t="shared" si="0"/>
        <v>44658</v>
      </c>
      <c r="J3" s="21">
        <f t="shared" si="0"/>
        <v>44659</v>
      </c>
      <c r="K3" s="21">
        <f t="shared" si="0"/>
        <v>44660</v>
      </c>
      <c r="L3" s="23">
        <f t="shared" si="0"/>
        <v>44661</v>
      </c>
      <c r="M3" s="21">
        <f t="shared" si="0"/>
        <v>44662</v>
      </c>
      <c r="N3" s="21">
        <f t="shared" si="0"/>
        <v>44663</v>
      </c>
      <c r="O3" s="21">
        <f t="shared" si="0"/>
        <v>44664</v>
      </c>
      <c r="P3" s="21">
        <f t="shared" si="0"/>
        <v>44665</v>
      </c>
      <c r="Q3" s="21">
        <f t="shared" si="0"/>
        <v>44666</v>
      </c>
      <c r="R3" s="21">
        <f t="shared" si="0"/>
        <v>44667</v>
      </c>
      <c r="S3" s="23">
        <f t="shared" si="0"/>
        <v>44668</v>
      </c>
      <c r="T3" s="21">
        <f t="shared" si="0"/>
        <v>44669</v>
      </c>
      <c r="U3" s="21">
        <f t="shared" si="0"/>
        <v>44670</v>
      </c>
      <c r="V3" s="21">
        <f t="shared" si="0"/>
        <v>44671</v>
      </c>
      <c r="W3" s="21">
        <f t="shared" si="0"/>
        <v>44672</v>
      </c>
      <c r="X3" s="21">
        <f t="shared" si="0"/>
        <v>44673</v>
      </c>
      <c r="Y3" s="21">
        <f t="shared" si="0"/>
        <v>44674</v>
      </c>
      <c r="Z3" s="23">
        <f t="shared" si="0"/>
        <v>44675</v>
      </c>
      <c r="AA3" s="21">
        <f t="shared" si="0"/>
        <v>44676</v>
      </c>
      <c r="AB3" s="21">
        <f t="shared" si="0"/>
        <v>44677</v>
      </c>
      <c r="AC3" s="21">
        <f t="shared" si="0"/>
        <v>44678</v>
      </c>
      <c r="AD3" s="21">
        <f t="shared" si="0"/>
        <v>44679</v>
      </c>
      <c r="AE3" s="21">
        <f t="shared" si="0"/>
        <v>44680</v>
      </c>
      <c r="AF3" s="21">
        <f t="shared" si="0"/>
        <v>44681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99" priority="1" operator="equal">
      <formula>"م"</formula>
    </cfRule>
    <cfRule type="cellIs" dxfId="98" priority="2" operator="equal">
      <formula>"ح"</formula>
    </cfRule>
    <cfRule type="cellIs" dxfId="97" priority="3" operator="equal">
      <formula>"غ"</formula>
    </cfRule>
    <cfRule type="cellIs" dxfId="96" priority="4" operator="equal">
      <formula>"م"</formula>
    </cfRule>
    <cfRule type="cellIs" dxfId="9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{784881C8-BB99-4164-B52F-34F4864392DF}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{EB5DEC9C-32CA-4A0C-B77F-FEB90CB9E1F4}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4881C8-BB99-4164-B52F-34F4864392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EB5DEC9C-32CA-4A0C-B77F-FEB90CB9E1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50AFDDC7-6B90-4F67-835B-F746649A1D9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106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44682</v>
      </c>
      <c r="D3" s="21">
        <f t="shared" ref="D3" si="1">DATE(2022,$P$1,COLUMN(B:B))</f>
        <v>44683</v>
      </c>
      <c r="E3" s="21">
        <f t="shared" ref="E3" si="2">DATE(2022,$P$1,COLUMN(C:C))</f>
        <v>44684</v>
      </c>
      <c r="F3" s="21">
        <f t="shared" ref="F3" si="3">DATE(2022,$P$1,COLUMN(D:D))</f>
        <v>44685</v>
      </c>
      <c r="G3" s="21">
        <f t="shared" ref="G3" si="4">DATE(2022,$P$1,COLUMN(E:E))</f>
        <v>44686</v>
      </c>
      <c r="H3" s="21">
        <f t="shared" ref="H3" si="5">DATE(2022,$P$1,COLUMN(F:F))</f>
        <v>44687</v>
      </c>
      <c r="I3" s="21">
        <f t="shared" ref="I3" si="6">DATE(2022,$P$1,COLUMN(G:G))</f>
        <v>44688</v>
      </c>
      <c r="J3" s="21">
        <f t="shared" ref="J3" si="7">DATE(2022,$P$1,COLUMN(H:H))</f>
        <v>44689</v>
      </c>
      <c r="K3" s="21">
        <f t="shared" ref="K3" si="8">DATE(2022,$P$1,COLUMN(I:I))</f>
        <v>44690</v>
      </c>
      <c r="L3" s="21">
        <f t="shared" ref="L3" si="9">DATE(2022,$P$1,COLUMN(J:J))</f>
        <v>44691</v>
      </c>
      <c r="M3" s="21">
        <f t="shared" ref="M3" si="10">DATE(2022,$P$1,COLUMN(K:K))</f>
        <v>44692</v>
      </c>
      <c r="N3" s="21">
        <f t="shared" ref="N3" si="11">DATE(2022,$P$1,COLUMN(L:L))</f>
        <v>44693</v>
      </c>
      <c r="O3" s="21">
        <f t="shared" ref="O3" si="12">DATE(2022,$P$1,COLUMN(M:M))</f>
        <v>44694</v>
      </c>
      <c r="P3" s="21">
        <f t="shared" ref="P3" si="13">DATE(2022,$P$1,COLUMN(N:N))</f>
        <v>44695</v>
      </c>
      <c r="Q3" s="21">
        <f t="shared" ref="Q3" si="14">DATE(2022,$P$1,COLUMN(O:O))</f>
        <v>44696</v>
      </c>
      <c r="R3" s="21">
        <f t="shared" ref="R3" si="15">DATE(2022,$P$1,COLUMN(P:P))</f>
        <v>44697</v>
      </c>
      <c r="S3" s="21">
        <f t="shared" ref="S3" si="16">DATE(2022,$P$1,COLUMN(Q:Q))</f>
        <v>44698</v>
      </c>
      <c r="T3" s="21">
        <f t="shared" ref="T3" si="17">DATE(2022,$P$1,COLUMN(R:R))</f>
        <v>44699</v>
      </c>
      <c r="U3" s="21">
        <f t="shared" ref="U3" si="18">DATE(2022,$P$1,COLUMN(S:S))</f>
        <v>44700</v>
      </c>
      <c r="V3" s="21">
        <f t="shared" ref="V3" si="19">DATE(2022,$P$1,COLUMN(T:T))</f>
        <v>44701</v>
      </c>
      <c r="W3" s="21">
        <f t="shared" ref="W3" si="20">DATE(2022,$P$1,COLUMN(U:U))</f>
        <v>44702</v>
      </c>
      <c r="X3" s="21">
        <f t="shared" ref="X3" si="21">DATE(2022,$P$1,COLUMN(V:V))</f>
        <v>44703</v>
      </c>
      <c r="Y3" s="21">
        <f t="shared" ref="Y3" si="22">DATE(2022,$P$1,COLUMN(W:W))</f>
        <v>44704</v>
      </c>
      <c r="Z3" s="21">
        <f t="shared" ref="Z3" si="23">DATE(2022,$P$1,COLUMN(X:X))</f>
        <v>44705</v>
      </c>
      <c r="AA3" s="21">
        <f t="shared" ref="AA3" si="24">DATE(2022,$P$1,COLUMN(Y:Y))</f>
        <v>44706</v>
      </c>
      <c r="AB3" s="21">
        <f t="shared" ref="AB3" si="25">DATE(2022,$P$1,COLUMN(Z:Z))</f>
        <v>44707</v>
      </c>
      <c r="AC3" s="21">
        <f t="shared" ref="AC3" si="26">DATE(2022,$P$1,COLUMN(AA:AA))</f>
        <v>44708</v>
      </c>
      <c r="AD3" s="21">
        <f t="shared" ref="AD3" si="27">DATE(2022,$P$1,COLUMN(AB:AB))</f>
        <v>44709</v>
      </c>
      <c r="AE3" s="21">
        <f t="shared" ref="AE3" si="28">DATE(2022,$P$1,COLUMN(AC:AC))</f>
        <v>44710</v>
      </c>
      <c r="AF3" s="21">
        <f t="shared" ref="AF3" si="29">DATE(2022,$P$1,COLUMN(AD:AD))</f>
        <v>44711</v>
      </c>
      <c r="AG3" s="21">
        <f t="shared" ref="AG3" si="30">DATE(2022,$P$1,COLUMN(AE:AE))</f>
        <v>44712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94" priority="1" operator="equal">
      <formula>"م"</formula>
    </cfRule>
    <cfRule type="cellIs" dxfId="93" priority="2" operator="equal">
      <formula>"ح"</formula>
    </cfRule>
    <cfRule type="cellIs" dxfId="92" priority="3" operator="equal">
      <formula>"غ"</formula>
    </cfRule>
    <cfRule type="cellIs" dxfId="91" priority="4" operator="equal">
      <formula>"م"</formula>
    </cfRule>
    <cfRule type="cellIs" dxfId="9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{0A5879D9-BB3D-43D4-B7D0-D3636B973799}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{6945EA53-06D6-46D3-BD76-3EA0146B7481}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5879D9-BB3D-43D4-B7D0-D3636B9737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6945EA53-06D6-46D3-BD76-3EA0146B74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61FB5FC6-CC89-4482-85E0-62B702AF5E6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-0.499984740745262"/>
  </sheetPr>
  <dimension ref="A1:AS1048561"/>
  <sheetViews>
    <sheetView rightToLeft="1" topLeftCell="A28" zoomScaleNormal="100" workbookViewId="0">
      <selection activeCell="B6" sqref="B6"/>
    </sheetView>
  </sheetViews>
  <sheetFormatPr defaultColWidth="8.88671875" defaultRowHeight="15.6" x14ac:dyDescent="0.3"/>
  <cols>
    <col min="1" max="1" width="3.44140625" style="1" customWidth="1"/>
    <col min="2" max="2" width="17.2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7" width="14.5546875" style="1" customWidth="1"/>
    <col min="38" max="38" width="10.88671875" style="1" bestFit="1" customWidth="1"/>
    <col min="39" max="41" width="8.88671875" style="1"/>
    <col min="42" max="42" width="19.88671875" style="1" bestFit="1" customWidth="1"/>
    <col min="43" max="43" width="9.21875" style="1" bestFit="1" customWidth="1"/>
    <col min="44" max="44" width="15.77734375" style="1" bestFit="1" customWidth="1"/>
    <col min="45" max="16384" width="8.88671875" style="1"/>
  </cols>
  <sheetData>
    <row r="1" spans="1:45" ht="33.6" customHeight="1" x14ac:dyDescent="0.3">
      <c r="A1" s="6"/>
      <c r="B1" s="9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10">
        <v>6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  <c r="AK1" s="7"/>
    </row>
    <row r="2" spans="1:45" ht="45.6" customHeight="1" x14ac:dyDescent="0.3">
      <c r="A2" s="52" t="s">
        <v>0</v>
      </c>
      <c r="B2" s="52" t="s">
        <v>1</v>
      </c>
      <c r="C2" s="8" t="str">
        <f>TEXT(C3,"[$-0401]dddd")</f>
        <v>الأربعاء</v>
      </c>
      <c r="D2" s="8" t="str">
        <f t="shared" ref="D2:AF2" si="0">TEXT(D3,"[$-0401]dddd")</f>
        <v>الخميس</v>
      </c>
      <c r="E2" s="8" t="str">
        <f t="shared" si="0"/>
        <v>الجمعة</v>
      </c>
      <c r="F2" s="8" t="str">
        <f t="shared" si="0"/>
        <v>السبت</v>
      </c>
      <c r="G2" s="8" t="str">
        <f t="shared" si="0"/>
        <v>الأحد</v>
      </c>
      <c r="H2" s="8" t="str">
        <f t="shared" si="0"/>
        <v>الإثنين</v>
      </c>
      <c r="I2" s="8" t="str">
        <f t="shared" si="0"/>
        <v>الثلاثاء</v>
      </c>
      <c r="J2" s="8" t="str">
        <f t="shared" si="0"/>
        <v>الأربعاء</v>
      </c>
      <c r="K2" s="8" t="str">
        <f t="shared" si="0"/>
        <v>الخميس</v>
      </c>
      <c r="L2" s="8" t="str">
        <f t="shared" si="0"/>
        <v>الجمعة</v>
      </c>
      <c r="M2" s="8" t="str">
        <f t="shared" si="0"/>
        <v>السبت</v>
      </c>
      <c r="N2" s="8" t="str">
        <f t="shared" si="0"/>
        <v>الأحد</v>
      </c>
      <c r="O2" s="8" t="str">
        <f t="shared" si="0"/>
        <v>الإثنين</v>
      </c>
      <c r="P2" s="8" t="str">
        <f t="shared" si="0"/>
        <v>الثلاثاء</v>
      </c>
      <c r="Q2" s="8" t="str">
        <f t="shared" si="0"/>
        <v>الأربعاء</v>
      </c>
      <c r="R2" s="8" t="str">
        <f t="shared" si="0"/>
        <v>الخميس</v>
      </c>
      <c r="S2" s="8" t="str">
        <f t="shared" si="0"/>
        <v>الجمعة</v>
      </c>
      <c r="T2" s="8" t="str">
        <f t="shared" si="0"/>
        <v>السبت</v>
      </c>
      <c r="U2" s="8" t="str">
        <f t="shared" si="0"/>
        <v>الأحد</v>
      </c>
      <c r="V2" s="8" t="str">
        <f t="shared" si="0"/>
        <v>الإثنين</v>
      </c>
      <c r="W2" s="8" t="str">
        <f t="shared" si="0"/>
        <v>الثلاثاء</v>
      </c>
      <c r="X2" s="8" t="str">
        <f t="shared" si="0"/>
        <v>الأربعاء</v>
      </c>
      <c r="Y2" s="8" t="str">
        <f t="shared" si="0"/>
        <v>الخميس</v>
      </c>
      <c r="Z2" s="8" t="str">
        <f t="shared" si="0"/>
        <v>الجمعة</v>
      </c>
      <c r="AA2" s="8" t="str">
        <f t="shared" si="0"/>
        <v>السبت</v>
      </c>
      <c r="AB2" s="8" t="str">
        <f t="shared" si="0"/>
        <v>الأحد</v>
      </c>
      <c r="AC2" s="8" t="str">
        <f t="shared" si="0"/>
        <v>الإثنين</v>
      </c>
      <c r="AD2" s="8" t="str">
        <f t="shared" si="0"/>
        <v>الثلاثاء</v>
      </c>
      <c r="AE2" s="8" t="str">
        <f t="shared" si="0"/>
        <v>الأربعاء</v>
      </c>
      <c r="AF2" s="8" t="str">
        <f t="shared" si="0"/>
        <v>الخميس</v>
      </c>
      <c r="AG2" s="42" t="s">
        <v>99</v>
      </c>
      <c r="AH2" s="42" t="s">
        <v>100</v>
      </c>
      <c r="AI2" s="44" t="s">
        <v>97</v>
      </c>
      <c r="AJ2" s="44" t="s">
        <v>98</v>
      </c>
      <c r="AK2" s="44" t="s">
        <v>137</v>
      </c>
      <c r="AL2" s="46" t="s">
        <v>103</v>
      </c>
    </row>
    <row r="3" spans="1:45" x14ac:dyDescent="0.3">
      <c r="A3" s="53"/>
      <c r="B3" s="53"/>
      <c r="C3" s="21">
        <f t="shared" ref="C3:AF3" si="1">DATE(2022,$P$1,COLUMN(A:A))</f>
        <v>44713</v>
      </c>
      <c r="D3" s="21">
        <f t="shared" si="1"/>
        <v>44714</v>
      </c>
      <c r="E3" s="23">
        <f t="shared" si="1"/>
        <v>44715</v>
      </c>
      <c r="F3" s="21">
        <f t="shared" si="1"/>
        <v>44716</v>
      </c>
      <c r="G3" s="21">
        <f t="shared" si="1"/>
        <v>44717</v>
      </c>
      <c r="H3" s="21">
        <f t="shared" si="1"/>
        <v>44718</v>
      </c>
      <c r="I3" s="21">
        <f t="shared" si="1"/>
        <v>44719</v>
      </c>
      <c r="J3" s="21">
        <f t="shared" si="1"/>
        <v>44720</v>
      </c>
      <c r="K3" s="21">
        <f t="shared" si="1"/>
        <v>44721</v>
      </c>
      <c r="L3" s="23">
        <f t="shared" si="1"/>
        <v>44722</v>
      </c>
      <c r="M3" s="21">
        <f t="shared" si="1"/>
        <v>44723</v>
      </c>
      <c r="N3" s="21">
        <f t="shared" si="1"/>
        <v>44724</v>
      </c>
      <c r="O3" s="21">
        <f t="shared" si="1"/>
        <v>44725</v>
      </c>
      <c r="P3" s="21">
        <f t="shared" si="1"/>
        <v>44726</v>
      </c>
      <c r="Q3" s="21">
        <f t="shared" si="1"/>
        <v>44727</v>
      </c>
      <c r="R3" s="21">
        <f t="shared" si="1"/>
        <v>44728</v>
      </c>
      <c r="S3" s="23">
        <f t="shared" si="1"/>
        <v>44729</v>
      </c>
      <c r="T3" s="21">
        <f t="shared" si="1"/>
        <v>44730</v>
      </c>
      <c r="U3" s="21">
        <f t="shared" si="1"/>
        <v>44731</v>
      </c>
      <c r="V3" s="21">
        <f t="shared" si="1"/>
        <v>44732</v>
      </c>
      <c r="W3" s="21">
        <f t="shared" si="1"/>
        <v>44733</v>
      </c>
      <c r="X3" s="21">
        <f t="shared" si="1"/>
        <v>44734</v>
      </c>
      <c r="Y3" s="21">
        <f t="shared" si="1"/>
        <v>44735</v>
      </c>
      <c r="Z3" s="23">
        <f t="shared" si="1"/>
        <v>44736</v>
      </c>
      <c r="AA3" s="21">
        <f t="shared" si="1"/>
        <v>44737</v>
      </c>
      <c r="AB3" s="21">
        <f t="shared" si="1"/>
        <v>44738</v>
      </c>
      <c r="AC3" s="21">
        <f t="shared" si="1"/>
        <v>44739</v>
      </c>
      <c r="AD3" s="21">
        <f t="shared" si="1"/>
        <v>44740</v>
      </c>
      <c r="AE3" s="21">
        <f t="shared" si="1"/>
        <v>44741</v>
      </c>
      <c r="AF3" s="21">
        <f t="shared" si="1"/>
        <v>44742</v>
      </c>
      <c r="AG3" s="43"/>
      <c r="AH3" s="43"/>
      <c r="AI3" s="45"/>
      <c r="AJ3" s="45"/>
      <c r="AK3" s="45"/>
      <c r="AL3" s="47"/>
    </row>
    <row r="4" spans="1:45" x14ac:dyDescent="0.3">
      <c r="A4" s="3">
        <f>ROW()-3</f>
        <v>1</v>
      </c>
      <c r="B4" s="3" t="s">
        <v>2</v>
      </c>
      <c r="C4" s="30" t="s">
        <v>83</v>
      </c>
      <c r="D4" s="30" t="s">
        <v>84</v>
      </c>
      <c r="E4" s="32" t="s">
        <v>84</v>
      </c>
      <c r="F4" s="30" t="s">
        <v>84</v>
      </c>
      <c r="G4" s="30" t="s">
        <v>84</v>
      </c>
      <c r="H4" s="30" t="s">
        <v>84</v>
      </c>
      <c r="I4" s="30" t="s">
        <v>84</v>
      </c>
      <c r="J4" s="30" t="s">
        <v>84</v>
      </c>
      <c r="K4" s="30" t="s">
        <v>83</v>
      </c>
      <c r="L4" s="32" t="s">
        <v>83</v>
      </c>
      <c r="M4" s="30" t="s">
        <v>83</v>
      </c>
      <c r="N4" s="30" t="s">
        <v>83</v>
      </c>
      <c r="O4" s="30" t="s">
        <v>83</v>
      </c>
      <c r="P4" s="30" t="s">
        <v>83</v>
      </c>
      <c r="Q4" s="30" t="s">
        <v>83</v>
      </c>
      <c r="R4" s="31" t="s">
        <v>83</v>
      </c>
      <c r="S4" s="32" t="s">
        <v>83</v>
      </c>
      <c r="T4" s="30" t="s">
        <v>83</v>
      </c>
      <c r="U4" s="30" t="s">
        <v>85</v>
      </c>
      <c r="V4" s="30" t="s">
        <v>85</v>
      </c>
      <c r="W4" s="30" t="s">
        <v>85</v>
      </c>
      <c r="X4" s="30" t="s">
        <v>85</v>
      </c>
      <c r="Y4" s="30" t="s">
        <v>85</v>
      </c>
      <c r="Z4" s="32" t="s">
        <v>85</v>
      </c>
      <c r="AA4" s="30" t="s">
        <v>85</v>
      </c>
      <c r="AB4" s="30" t="s">
        <v>85</v>
      </c>
      <c r="AC4" s="30" t="s">
        <v>85</v>
      </c>
      <c r="AD4" s="30" t="s">
        <v>85</v>
      </c>
      <c r="AE4" s="30" t="s">
        <v>85</v>
      </c>
      <c r="AF4" s="30" t="s">
        <v>85</v>
      </c>
      <c r="AG4" s="28">
        <v>44713</v>
      </c>
      <c r="AH4" s="29">
        <v>44742</v>
      </c>
      <c r="AI4" s="13">
        <f t="shared" ref="AI4:AI66" si="2">COUNTIFS($C$3:$AF$3,"&gt;="&amp;AG4,$C$3:$AF$3,"&lt;="&amp;AH4,C4:AF4,"ح")</f>
        <v>12</v>
      </c>
      <c r="AJ4" s="13">
        <f>COUNTIFS($C$3:$AF$3,"&gt;="&amp;AG4,$C$3:$AF$3,"&lt;="&amp;AH4,C4:AF4,"غ")</f>
        <v>0</v>
      </c>
      <c r="AK4" s="13">
        <f>COUNTIFS($C$3:$AF$3,"&gt;="&amp;AG4,$C$3:$AF$3,"&lt;="&amp;AH4,C4:AF4,"م")</f>
        <v>11</v>
      </c>
      <c r="AL4" s="26">
        <f>IF(AG4="",0,1)</f>
        <v>1</v>
      </c>
    </row>
    <row r="5" spans="1:45" x14ac:dyDescent="0.3">
      <c r="A5" s="3">
        <f t="shared" ref="A5:A68" si="3">ROW()-3</f>
        <v>2</v>
      </c>
      <c r="B5" s="3" t="s">
        <v>3</v>
      </c>
      <c r="C5" s="30" t="s">
        <v>84</v>
      </c>
      <c r="D5" s="30" t="s">
        <v>85</v>
      </c>
      <c r="E5" s="32" t="s">
        <v>84</v>
      </c>
      <c r="F5" s="30" t="s">
        <v>84</v>
      </c>
      <c r="G5" s="30" t="s">
        <v>84</v>
      </c>
      <c r="H5" s="30" t="s">
        <v>84</v>
      </c>
      <c r="I5" s="30" t="s">
        <v>84</v>
      </c>
      <c r="J5" s="30" t="s">
        <v>84</v>
      </c>
      <c r="K5" s="30" t="s">
        <v>83</v>
      </c>
      <c r="L5" s="32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 t="s">
        <v>83</v>
      </c>
      <c r="R5" s="31" t="s">
        <v>83</v>
      </c>
      <c r="S5" s="32" t="s">
        <v>83</v>
      </c>
      <c r="T5" s="30" t="s">
        <v>83</v>
      </c>
      <c r="U5" s="30" t="s">
        <v>83</v>
      </c>
      <c r="V5" s="30" t="s">
        <v>83</v>
      </c>
      <c r="W5" s="30" t="s">
        <v>85</v>
      </c>
      <c r="X5" s="30" t="s">
        <v>85</v>
      </c>
      <c r="Y5" s="30" t="s">
        <v>85</v>
      </c>
      <c r="Z5" s="32" t="s">
        <v>85</v>
      </c>
      <c r="AA5" s="30" t="s">
        <v>85</v>
      </c>
      <c r="AB5" s="30" t="s">
        <v>85</v>
      </c>
      <c r="AC5" s="30" t="s">
        <v>85</v>
      </c>
      <c r="AD5" s="30" t="s">
        <v>85</v>
      </c>
      <c r="AE5" s="30" t="s">
        <v>85</v>
      </c>
      <c r="AF5" s="30" t="s">
        <v>85</v>
      </c>
      <c r="AG5" s="28">
        <v>44713</v>
      </c>
      <c r="AH5" s="29">
        <v>44742</v>
      </c>
      <c r="AI5" s="13">
        <f t="shared" si="2"/>
        <v>11</v>
      </c>
      <c r="AJ5" s="13">
        <f t="shared" ref="AJ5:AJ66" si="4">COUNTIFS($C$3:$AF$3,"&gt;="&amp;AG5,$C$3:$AF$3,"&lt;="&amp;AH5,C5:AF5,"غ")</f>
        <v>0</v>
      </c>
      <c r="AK5" s="13">
        <f t="shared" ref="AK5:AK68" si="5">COUNTIFS($C$3:$AF$3,"&gt;="&amp;AG5,$C$3:$AF$3,"&lt;="&amp;AH5,C5:AF5,"م")</f>
        <v>12</v>
      </c>
      <c r="AL5" s="26">
        <f t="shared" ref="AL5:AL67" si="6">IF(AG5="",0,1)</f>
        <v>1</v>
      </c>
    </row>
    <row r="6" spans="1:45" x14ac:dyDescent="0.3">
      <c r="A6" s="3">
        <f t="shared" si="3"/>
        <v>3</v>
      </c>
      <c r="B6" s="3" t="s">
        <v>4</v>
      </c>
      <c r="C6" s="30" t="s">
        <v>85</v>
      </c>
      <c r="D6" s="30" t="s">
        <v>85</v>
      </c>
      <c r="E6" s="32" t="s">
        <v>83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85</v>
      </c>
      <c r="K6" s="30" t="s">
        <v>85</v>
      </c>
      <c r="L6" s="32" t="s">
        <v>83</v>
      </c>
      <c r="M6" s="30" t="s">
        <v>85</v>
      </c>
      <c r="N6" s="30" t="s">
        <v>85</v>
      </c>
      <c r="O6" s="30" t="s">
        <v>85</v>
      </c>
      <c r="P6" s="30" t="s">
        <v>85</v>
      </c>
      <c r="Q6" s="30" t="s">
        <v>85</v>
      </c>
      <c r="R6" s="31" t="s">
        <v>85</v>
      </c>
      <c r="S6" s="32" t="s">
        <v>83</v>
      </c>
      <c r="T6" s="30" t="s">
        <v>85</v>
      </c>
      <c r="U6" s="30" t="s">
        <v>85</v>
      </c>
      <c r="V6" s="30" t="s">
        <v>85</v>
      </c>
      <c r="W6" s="30" t="s">
        <v>85</v>
      </c>
      <c r="X6" s="30" t="s">
        <v>85</v>
      </c>
      <c r="Y6" s="30" t="s">
        <v>85</v>
      </c>
      <c r="Z6" s="32" t="s">
        <v>85</v>
      </c>
      <c r="AA6" s="30" t="s">
        <v>85</v>
      </c>
      <c r="AB6" s="30" t="s">
        <v>85</v>
      </c>
      <c r="AC6" s="30" t="s">
        <v>85</v>
      </c>
      <c r="AD6" s="30" t="s">
        <v>85</v>
      </c>
      <c r="AE6" s="30" t="s">
        <v>85</v>
      </c>
      <c r="AF6" s="30" t="s">
        <v>85</v>
      </c>
      <c r="AG6" s="28">
        <v>44713</v>
      </c>
      <c r="AH6" s="29">
        <v>44742</v>
      </c>
      <c r="AI6" s="13">
        <f t="shared" si="2"/>
        <v>27</v>
      </c>
      <c r="AJ6" s="13">
        <f t="shared" si="4"/>
        <v>0</v>
      </c>
      <c r="AK6" s="13">
        <f t="shared" si="5"/>
        <v>3</v>
      </c>
      <c r="AL6" s="26">
        <f t="shared" si="6"/>
        <v>1</v>
      </c>
    </row>
    <row r="7" spans="1:45" x14ac:dyDescent="0.3">
      <c r="A7" s="3">
        <f t="shared" si="3"/>
        <v>4</v>
      </c>
      <c r="B7" s="3" t="s">
        <v>5</v>
      </c>
      <c r="C7" s="30" t="s">
        <v>85</v>
      </c>
      <c r="D7" s="30" t="s">
        <v>85</v>
      </c>
      <c r="E7" s="32" t="s">
        <v>85</v>
      </c>
      <c r="F7" s="30" t="s">
        <v>85</v>
      </c>
      <c r="G7" s="30" t="s">
        <v>85</v>
      </c>
      <c r="H7" s="30" t="s">
        <v>85</v>
      </c>
      <c r="I7" s="30" t="s">
        <v>83</v>
      </c>
      <c r="J7" s="30" t="s">
        <v>83</v>
      </c>
      <c r="K7" s="30" t="s">
        <v>83</v>
      </c>
      <c r="L7" s="32" t="s">
        <v>83</v>
      </c>
      <c r="M7" s="30" t="s">
        <v>83</v>
      </c>
      <c r="N7" s="30" t="s">
        <v>83</v>
      </c>
      <c r="O7" s="30" t="s">
        <v>83</v>
      </c>
      <c r="P7" s="30" t="s">
        <v>83</v>
      </c>
      <c r="Q7" s="30" t="s">
        <v>83</v>
      </c>
      <c r="R7" s="31" t="s">
        <v>83</v>
      </c>
      <c r="S7" s="32" t="s">
        <v>83</v>
      </c>
      <c r="T7" s="30" t="s">
        <v>83</v>
      </c>
      <c r="U7" s="30" t="s">
        <v>85</v>
      </c>
      <c r="V7" s="30" t="s">
        <v>85</v>
      </c>
      <c r="W7" s="30" t="s">
        <v>85</v>
      </c>
      <c r="X7" s="30" t="s">
        <v>85</v>
      </c>
      <c r="Y7" s="30" t="s">
        <v>85</v>
      </c>
      <c r="Z7" s="32" t="s">
        <v>85</v>
      </c>
      <c r="AA7" s="30" t="s">
        <v>85</v>
      </c>
      <c r="AB7" s="30" t="s">
        <v>85</v>
      </c>
      <c r="AC7" s="30" t="s">
        <v>85</v>
      </c>
      <c r="AD7" s="30" t="s">
        <v>85</v>
      </c>
      <c r="AE7" s="30" t="s">
        <v>85</v>
      </c>
      <c r="AF7" s="30" t="s">
        <v>85</v>
      </c>
      <c r="AG7" s="28">
        <v>44713</v>
      </c>
      <c r="AH7" s="29">
        <v>44742</v>
      </c>
      <c r="AI7" s="13">
        <f t="shared" si="2"/>
        <v>18</v>
      </c>
      <c r="AJ7" s="13">
        <f t="shared" si="4"/>
        <v>0</v>
      </c>
      <c r="AK7" s="13">
        <f t="shared" si="5"/>
        <v>12</v>
      </c>
      <c r="AL7" s="26">
        <f t="shared" si="6"/>
        <v>1</v>
      </c>
    </row>
    <row r="8" spans="1:45" x14ac:dyDescent="0.3">
      <c r="A8" s="3">
        <f t="shared" si="3"/>
        <v>5</v>
      </c>
      <c r="B8" s="3" t="s">
        <v>6</v>
      </c>
      <c r="C8" s="30" t="s">
        <v>85</v>
      </c>
      <c r="D8" s="30" t="s">
        <v>85</v>
      </c>
      <c r="E8" s="32" t="s">
        <v>83</v>
      </c>
      <c r="F8" s="30" t="s">
        <v>85</v>
      </c>
      <c r="G8" s="30" t="s">
        <v>85</v>
      </c>
      <c r="H8" s="30" t="s">
        <v>85</v>
      </c>
      <c r="I8" s="30" t="s">
        <v>85</v>
      </c>
      <c r="J8" s="30" t="s">
        <v>85</v>
      </c>
      <c r="K8" s="30" t="s">
        <v>85</v>
      </c>
      <c r="L8" s="32" t="s">
        <v>83</v>
      </c>
      <c r="M8" s="30" t="s">
        <v>85</v>
      </c>
      <c r="N8" s="30" t="s">
        <v>85</v>
      </c>
      <c r="O8" s="30" t="s">
        <v>85</v>
      </c>
      <c r="P8" s="30" t="s">
        <v>83</v>
      </c>
      <c r="Q8" s="30" t="s">
        <v>83</v>
      </c>
      <c r="R8" s="31" t="s">
        <v>83</v>
      </c>
      <c r="S8" s="32" t="s">
        <v>83</v>
      </c>
      <c r="T8" s="30" t="s">
        <v>83</v>
      </c>
      <c r="U8" s="30" t="s">
        <v>83</v>
      </c>
      <c r="V8" s="30" t="s">
        <v>83</v>
      </c>
      <c r="W8" s="30" t="s">
        <v>85</v>
      </c>
      <c r="X8" s="30" t="s">
        <v>85</v>
      </c>
      <c r="Y8" s="30" t="s">
        <v>85</v>
      </c>
      <c r="Z8" s="32" t="s">
        <v>85</v>
      </c>
      <c r="AA8" s="30" t="s">
        <v>85</v>
      </c>
      <c r="AB8" s="30" t="s">
        <v>85</v>
      </c>
      <c r="AC8" s="30" t="s">
        <v>85</v>
      </c>
      <c r="AD8" s="30" t="s">
        <v>85</v>
      </c>
      <c r="AE8" s="30" t="s">
        <v>85</v>
      </c>
      <c r="AF8" s="30" t="s">
        <v>85</v>
      </c>
      <c r="AG8" s="28">
        <v>44713</v>
      </c>
      <c r="AH8" s="29">
        <v>44742</v>
      </c>
      <c r="AI8" s="13">
        <f t="shared" si="2"/>
        <v>21</v>
      </c>
      <c r="AJ8" s="13">
        <f t="shared" si="4"/>
        <v>0</v>
      </c>
      <c r="AK8" s="13">
        <f t="shared" si="5"/>
        <v>9</v>
      </c>
      <c r="AL8" s="26">
        <f t="shared" si="6"/>
        <v>1</v>
      </c>
    </row>
    <row r="9" spans="1:45" s="12" customFormat="1" x14ac:dyDescent="0.3">
      <c r="A9" s="3">
        <f t="shared" si="3"/>
        <v>6</v>
      </c>
      <c r="B9" s="11" t="s">
        <v>7</v>
      </c>
      <c r="C9" s="31" t="s">
        <v>85</v>
      </c>
      <c r="D9" s="31" t="s">
        <v>85</v>
      </c>
      <c r="E9" s="32" t="s">
        <v>83</v>
      </c>
      <c r="F9" s="31" t="s">
        <v>85</v>
      </c>
      <c r="G9" s="31" t="s">
        <v>83</v>
      </c>
      <c r="H9" s="31" t="s">
        <v>83</v>
      </c>
      <c r="I9" s="31" t="s">
        <v>83</v>
      </c>
      <c r="J9" s="31" t="s">
        <v>85</v>
      </c>
      <c r="K9" s="31" t="s">
        <v>85</v>
      </c>
      <c r="L9" s="32" t="s">
        <v>83</v>
      </c>
      <c r="M9" s="31" t="s">
        <v>85</v>
      </c>
      <c r="N9" s="31" t="s">
        <v>85</v>
      </c>
      <c r="O9" s="31" t="s">
        <v>85</v>
      </c>
      <c r="P9" s="31" t="s">
        <v>85</v>
      </c>
      <c r="Q9" s="31" t="s">
        <v>85</v>
      </c>
      <c r="R9" s="31" t="s">
        <v>85</v>
      </c>
      <c r="S9" s="32" t="s">
        <v>83</v>
      </c>
      <c r="T9" s="31" t="s">
        <v>85</v>
      </c>
      <c r="U9" s="31" t="s">
        <v>85</v>
      </c>
      <c r="V9" s="31" t="s">
        <v>83</v>
      </c>
      <c r="W9" s="31" t="s">
        <v>85</v>
      </c>
      <c r="X9" s="31" t="s">
        <v>85</v>
      </c>
      <c r="Y9" s="31" t="s">
        <v>85</v>
      </c>
      <c r="Z9" s="32" t="s">
        <v>83</v>
      </c>
      <c r="AA9" s="31" t="s">
        <v>85</v>
      </c>
      <c r="AB9" s="30" t="s">
        <v>85</v>
      </c>
      <c r="AC9" s="30" t="s">
        <v>85</v>
      </c>
      <c r="AD9" s="31" t="s">
        <v>85</v>
      </c>
      <c r="AE9" s="31" t="s">
        <v>85</v>
      </c>
      <c r="AF9" s="31" t="s">
        <v>85</v>
      </c>
      <c r="AG9" s="28">
        <v>44713</v>
      </c>
      <c r="AH9" s="29">
        <v>44742</v>
      </c>
      <c r="AI9" s="13">
        <f t="shared" si="2"/>
        <v>22</v>
      </c>
      <c r="AJ9" s="13">
        <f t="shared" si="4"/>
        <v>0</v>
      </c>
      <c r="AK9" s="13">
        <f t="shared" si="5"/>
        <v>8</v>
      </c>
      <c r="AL9" s="26">
        <f t="shared" si="6"/>
        <v>1</v>
      </c>
    </row>
    <row r="10" spans="1:45" x14ac:dyDescent="0.3">
      <c r="A10" s="3">
        <f t="shared" si="3"/>
        <v>7</v>
      </c>
      <c r="B10" s="3" t="s">
        <v>8</v>
      </c>
      <c r="C10" s="30" t="s">
        <v>85</v>
      </c>
      <c r="D10" s="30" t="s">
        <v>85</v>
      </c>
      <c r="E10" s="32" t="s">
        <v>83</v>
      </c>
      <c r="F10" s="30" t="s">
        <v>85</v>
      </c>
      <c r="G10" s="30" t="s">
        <v>85</v>
      </c>
      <c r="H10" s="30" t="s">
        <v>85</v>
      </c>
      <c r="I10" s="30" t="s">
        <v>85</v>
      </c>
      <c r="J10" s="30" t="s">
        <v>85</v>
      </c>
      <c r="K10" s="30" t="s">
        <v>85</v>
      </c>
      <c r="L10" s="32" t="s">
        <v>83</v>
      </c>
      <c r="M10" s="30" t="s">
        <v>85</v>
      </c>
      <c r="N10" s="30" t="s">
        <v>85</v>
      </c>
      <c r="O10" s="30" t="s">
        <v>85</v>
      </c>
      <c r="P10" s="30" t="s">
        <v>85</v>
      </c>
      <c r="Q10" s="30" t="s">
        <v>85</v>
      </c>
      <c r="R10" s="31" t="s">
        <v>85</v>
      </c>
      <c r="S10" s="32" t="s">
        <v>83</v>
      </c>
      <c r="T10" s="30" t="s">
        <v>85</v>
      </c>
      <c r="U10" s="30" t="s">
        <v>85</v>
      </c>
      <c r="V10" s="30" t="s">
        <v>85</v>
      </c>
      <c r="W10" s="30" t="s">
        <v>85</v>
      </c>
      <c r="X10" s="30" t="s">
        <v>85</v>
      </c>
      <c r="Y10" s="30" t="s">
        <v>85</v>
      </c>
      <c r="Z10" s="32" t="s">
        <v>83</v>
      </c>
      <c r="AA10" s="30" t="s">
        <v>85</v>
      </c>
      <c r="AB10" s="30" t="s">
        <v>85</v>
      </c>
      <c r="AC10" s="30" t="s">
        <v>85</v>
      </c>
      <c r="AD10" s="30" t="s">
        <v>85</v>
      </c>
      <c r="AE10" s="30" t="s">
        <v>85</v>
      </c>
      <c r="AF10" s="30" t="s">
        <v>85</v>
      </c>
      <c r="AG10" s="28">
        <v>44713</v>
      </c>
      <c r="AH10" s="29">
        <v>44742</v>
      </c>
      <c r="AI10" s="13">
        <f t="shared" si="2"/>
        <v>26</v>
      </c>
      <c r="AJ10" s="13">
        <f t="shared" si="4"/>
        <v>0</v>
      </c>
      <c r="AK10" s="13">
        <f t="shared" si="5"/>
        <v>4</v>
      </c>
      <c r="AL10" s="26">
        <f t="shared" si="6"/>
        <v>1</v>
      </c>
    </row>
    <row r="11" spans="1:45" x14ac:dyDescent="0.3">
      <c r="A11" s="3">
        <f t="shared" si="3"/>
        <v>8</v>
      </c>
      <c r="B11" s="3" t="s">
        <v>9</v>
      </c>
      <c r="C11" s="30" t="s">
        <v>84</v>
      </c>
      <c r="D11" s="30" t="s">
        <v>84</v>
      </c>
      <c r="E11" s="32" t="s">
        <v>84</v>
      </c>
      <c r="F11" s="30" t="s">
        <v>84</v>
      </c>
      <c r="G11" s="30" t="s">
        <v>84</v>
      </c>
      <c r="H11" s="30" t="s">
        <v>84</v>
      </c>
      <c r="I11" s="30" t="s">
        <v>84</v>
      </c>
      <c r="J11" s="30" t="s">
        <v>84</v>
      </c>
      <c r="K11" s="30" t="s">
        <v>84</v>
      </c>
      <c r="L11" s="32" t="s">
        <v>84</v>
      </c>
      <c r="M11" s="30"/>
      <c r="N11" s="30"/>
      <c r="O11" s="30"/>
      <c r="P11" s="30"/>
      <c r="Q11" s="30"/>
      <c r="R11" s="31" t="s">
        <v>85</v>
      </c>
      <c r="S11" s="32"/>
      <c r="T11" s="30" t="s">
        <v>84</v>
      </c>
      <c r="U11" s="30" t="s">
        <v>84</v>
      </c>
      <c r="V11" s="30" t="s">
        <v>84</v>
      </c>
      <c r="W11" s="30" t="s">
        <v>84</v>
      </c>
      <c r="X11" s="30" t="s">
        <v>84</v>
      </c>
      <c r="Y11" s="30" t="s">
        <v>84</v>
      </c>
      <c r="Z11" s="32"/>
      <c r="AA11" s="30"/>
      <c r="AB11" s="30" t="s">
        <v>85</v>
      </c>
      <c r="AC11" s="30"/>
      <c r="AD11" s="30" t="s">
        <v>85</v>
      </c>
      <c r="AE11" s="30" t="s">
        <v>85</v>
      </c>
      <c r="AF11" s="30"/>
      <c r="AG11" s="28">
        <v>44713</v>
      </c>
      <c r="AH11" s="29">
        <v>44742</v>
      </c>
      <c r="AI11" s="13">
        <f t="shared" si="2"/>
        <v>4</v>
      </c>
      <c r="AJ11" s="13">
        <f t="shared" si="4"/>
        <v>0</v>
      </c>
      <c r="AK11" s="13">
        <f t="shared" si="5"/>
        <v>0</v>
      </c>
      <c r="AL11" s="26">
        <f t="shared" si="6"/>
        <v>1</v>
      </c>
    </row>
    <row r="12" spans="1:45" x14ac:dyDescent="0.3">
      <c r="A12" s="3">
        <f t="shared" si="3"/>
        <v>9</v>
      </c>
      <c r="B12" s="3" t="s">
        <v>10</v>
      </c>
      <c r="C12" s="30" t="s">
        <v>85</v>
      </c>
      <c r="D12" s="30" t="s">
        <v>85</v>
      </c>
      <c r="E12" s="32" t="s">
        <v>83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85</v>
      </c>
      <c r="K12" s="30" t="s">
        <v>85</v>
      </c>
      <c r="L12" s="32" t="s">
        <v>83</v>
      </c>
      <c r="M12" s="30" t="s">
        <v>85</v>
      </c>
      <c r="N12" s="30" t="s">
        <v>85</v>
      </c>
      <c r="O12" s="30" t="s">
        <v>85</v>
      </c>
      <c r="P12" s="30" t="s">
        <v>85</v>
      </c>
      <c r="Q12" s="30" t="s">
        <v>85</v>
      </c>
      <c r="R12" s="31" t="s">
        <v>85</v>
      </c>
      <c r="S12" s="32" t="s">
        <v>83</v>
      </c>
      <c r="T12" s="30" t="s">
        <v>85</v>
      </c>
      <c r="U12" s="30" t="s">
        <v>85</v>
      </c>
      <c r="V12" s="30" t="s">
        <v>85</v>
      </c>
      <c r="W12" s="30" t="s">
        <v>85</v>
      </c>
      <c r="X12" s="30" t="s">
        <v>85</v>
      </c>
      <c r="Y12" s="30" t="s">
        <v>85</v>
      </c>
      <c r="Z12" s="32" t="s">
        <v>85</v>
      </c>
      <c r="AA12" s="30" t="s">
        <v>85</v>
      </c>
      <c r="AB12" s="30" t="s">
        <v>85</v>
      </c>
      <c r="AC12" s="30" t="s">
        <v>85</v>
      </c>
      <c r="AD12" s="30" t="s">
        <v>85</v>
      </c>
      <c r="AE12" s="30" t="s">
        <v>85</v>
      </c>
      <c r="AF12" s="30" t="s">
        <v>85</v>
      </c>
      <c r="AG12" s="28">
        <v>44713</v>
      </c>
      <c r="AH12" s="29">
        <v>44742</v>
      </c>
      <c r="AI12" s="13">
        <f t="shared" si="2"/>
        <v>27</v>
      </c>
      <c r="AJ12" s="13">
        <f t="shared" si="4"/>
        <v>0</v>
      </c>
      <c r="AK12" s="13">
        <f t="shared" si="5"/>
        <v>3</v>
      </c>
      <c r="AL12" s="26">
        <f t="shared" si="6"/>
        <v>1</v>
      </c>
    </row>
    <row r="13" spans="1:45" ht="18" x14ac:dyDescent="0.35">
      <c r="A13" s="3">
        <f t="shared" si="3"/>
        <v>10</v>
      </c>
      <c r="B13" s="3" t="s">
        <v>11</v>
      </c>
      <c r="C13" s="30" t="s">
        <v>83</v>
      </c>
      <c r="D13" s="30" t="s">
        <v>83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85</v>
      </c>
      <c r="N13" s="30" t="s">
        <v>85</v>
      </c>
      <c r="O13" s="30" t="s">
        <v>85</v>
      </c>
      <c r="P13" s="30" t="s">
        <v>85</v>
      </c>
      <c r="Q13" s="30" t="s">
        <v>85</v>
      </c>
      <c r="R13" s="31" t="s">
        <v>85</v>
      </c>
      <c r="S13" s="32" t="s">
        <v>85</v>
      </c>
      <c r="T13" s="30" t="s">
        <v>83</v>
      </c>
      <c r="U13" s="30" t="s">
        <v>83</v>
      </c>
      <c r="V13" s="30" t="s">
        <v>83</v>
      </c>
      <c r="W13" s="30" t="s">
        <v>85</v>
      </c>
      <c r="X13" s="30" t="s">
        <v>85</v>
      </c>
      <c r="Y13" s="30" t="s">
        <v>85</v>
      </c>
      <c r="Z13" s="32" t="s">
        <v>85</v>
      </c>
      <c r="AA13" s="30" t="s">
        <v>85</v>
      </c>
      <c r="AB13" s="30" t="s">
        <v>85</v>
      </c>
      <c r="AC13" s="30" t="s">
        <v>85</v>
      </c>
      <c r="AD13" s="30" t="s">
        <v>85</v>
      </c>
      <c r="AE13" s="30" t="s">
        <v>85</v>
      </c>
      <c r="AF13" s="30" t="s">
        <v>85</v>
      </c>
      <c r="AG13" s="28">
        <v>44713</v>
      </c>
      <c r="AH13" s="29">
        <v>44742</v>
      </c>
      <c r="AI13" s="13">
        <f t="shared" si="2"/>
        <v>21</v>
      </c>
      <c r="AJ13" s="13">
        <f t="shared" si="4"/>
        <v>0</v>
      </c>
      <c r="AK13" s="13">
        <f t="shared" si="5"/>
        <v>9</v>
      </c>
      <c r="AL13" s="26">
        <f t="shared" si="6"/>
        <v>1</v>
      </c>
      <c r="AP13" s="37" t="s">
        <v>114</v>
      </c>
      <c r="AQ13" s="37" t="s">
        <v>115</v>
      </c>
      <c r="AR13" s="37" t="s">
        <v>116</v>
      </c>
      <c r="AS13" s="15"/>
    </row>
    <row r="14" spans="1:45" ht="18" x14ac:dyDescent="0.35">
      <c r="A14" s="3">
        <f t="shared" si="3"/>
        <v>11</v>
      </c>
      <c r="B14" s="3" t="s">
        <v>12</v>
      </c>
      <c r="C14" s="30" t="s">
        <v>85</v>
      </c>
      <c r="D14" s="30" t="s">
        <v>85</v>
      </c>
      <c r="E14" s="32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85</v>
      </c>
      <c r="O14" s="30" t="s">
        <v>85</v>
      </c>
      <c r="P14" s="30" t="s">
        <v>85</v>
      </c>
      <c r="Q14" s="30" t="s">
        <v>85</v>
      </c>
      <c r="R14" s="31" t="s">
        <v>85</v>
      </c>
      <c r="S14" s="32" t="s">
        <v>85</v>
      </c>
      <c r="T14" s="30" t="s">
        <v>85</v>
      </c>
      <c r="U14" s="30" t="s">
        <v>85</v>
      </c>
      <c r="V14" s="30" t="s">
        <v>85</v>
      </c>
      <c r="W14" s="30" t="s">
        <v>85</v>
      </c>
      <c r="X14" s="30" t="s">
        <v>85</v>
      </c>
      <c r="Y14" s="30" t="s">
        <v>85</v>
      </c>
      <c r="Z14" s="32" t="s">
        <v>85</v>
      </c>
      <c r="AA14" s="30" t="s">
        <v>83</v>
      </c>
      <c r="AB14" s="30" t="s">
        <v>83</v>
      </c>
      <c r="AC14" s="30" t="s">
        <v>83</v>
      </c>
      <c r="AD14" s="30" t="s">
        <v>85</v>
      </c>
      <c r="AE14" s="30" t="s">
        <v>85</v>
      </c>
      <c r="AF14" s="30" t="s">
        <v>85</v>
      </c>
      <c r="AG14" s="28">
        <v>44713</v>
      </c>
      <c r="AH14" s="29">
        <v>44742</v>
      </c>
      <c r="AI14" s="13">
        <f t="shared" si="2"/>
        <v>24</v>
      </c>
      <c r="AJ14" s="13">
        <f t="shared" si="4"/>
        <v>0</v>
      </c>
      <c r="AK14" s="13">
        <f t="shared" si="5"/>
        <v>6</v>
      </c>
      <c r="AL14" s="26">
        <f t="shared" si="6"/>
        <v>1</v>
      </c>
      <c r="AP14" s="39">
        <v>44745</v>
      </c>
      <c r="AQ14" s="38">
        <v>6</v>
      </c>
      <c r="AR14" s="39">
        <f>AP14+AQ14</f>
        <v>44751</v>
      </c>
    </row>
    <row r="15" spans="1:45" x14ac:dyDescent="0.3">
      <c r="A15" s="3">
        <f t="shared" si="3"/>
        <v>12</v>
      </c>
      <c r="B15" s="3" t="s">
        <v>13</v>
      </c>
      <c r="C15" s="30" t="s">
        <v>85</v>
      </c>
      <c r="D15" s="30" t="s">
        <v>85</v>
      </c>
      <c r="E15" s="32" t="s">
        <v>85</v>
      </c>
      <c r="F15" s="30" t="s">
        <v>85</v>
      </c>
      <c r="G15" s="30" t="s">
        <v>85</v>
      </c>
      <c r="H15" s="30" t="s">
        <v>85</v>
      </c>
      <c r="I15" s="30" t="s">
        <v>85</v>
      </c>
      <c r="J15" s="30" t="s">
        <v>85</v>
      </c>
      <c r="K15" s="30" t="s">
        <v>85</v>
      </c>
      <c r="L15" s="32" t="s">
        <v>85</v>
      </c>
      <c r="M15" s="30" t="s">
        <v>85</v>
      </c>
      <c r="N15" s="30" t="s">
        <v>85</v>
      </c>
      <c r="O15" s="30" t="s">
        <v>83</v>
      </c>
      <c r="P15" s="30" t="s">
        <v>83</v>
      </c>
      <c r="Q15" s="30" t="s">
        <v>83</v>
      </c>
      <c r="R15" s="31" t="s">
        <v>83</v>
      </c>
      <c r="S15" s="32" t="s">
        <v>83</v>
      </c>
      <c r="T15" s="30" t="s">
        <v>83</v>
      </c>
      <c r="U15" s="30" t="s">
        <v>83</v>
      </c>
      <c r="V15" s="30" t="s">
        <v>83</v>
      </c>
      <c r="W15" s="30" t="s">
        <v>85</v>
      </c>
      <c r="X15" s="30" t="s">
        <v>85</v>
      </c>
      <c r="Y15" s="30" t="s">
        <v>85</v>
      </c>
      <c r="Z15" s="32" t="s">
        <v>85</v>
      </c>
      <c r="AA15" s="30" t="s">
        <v>85</v>
      </c>
      <c r="AB15" s="30" t="s">
        <v>85</v>
      </c>
      <c r="AC15" s="30" t="s">
        <v>85</v>
      </c>
      <c r="AD15" s="30" t="s">
        <v>85</v>
      </c>
      <c r="AE15" s="30" t="s">
        <v>85</v>
      </c>
      <c r="AF15" s="30" t="s">
        <v>85</v>
      </c>
      <c r="AG15" s="28">
        <v>44713</v>
      </c>
      <c r="AH15" s="29">
        <v>44742</v>
      </c>
      <c r="AI15" s="13">
        <f t="shared" si="2"/>
        <v>22</v>
      </c>
      <c r="AJ15" s="13">
        <f t="shared" si="4"/>
        <v>0</v>
      </c>
      <c r="AK15" s="13">
        <f t="shared" si="5"/>
        <v>8</v>
      </c>
      <c r="AL15" s="26">
        <f t="shared" si="6"/>
        <v>1</v>
      </c>
    </row>
    <row r="16" spans="1:45" x14ac:dyDescent="0.3">
      <c r="A16" s="3">
        <f t="shared" si="3"/>
        <v>13</v>
      </c>
      <c r="B16" s="3" t="s">
        <v>101</v>
      </c>
      <c r="C16" s="30" t="s">
        <v>85</v>
      </c>
      <c r="D16" s="30" t="s">
        <v>83</v>
      </c>
      <c r="E16" s="32" t="s">
        <v>83</v>
      </c>
      <c r="F16" s="30" t="s">
        <v>85</v>
      </c>
      <c r="G16" s="30" t="s">
        <v>85</v>
      </c>
      <c r="H16" s="30" t="s">
        <v>85</v>
      </c>
      <c r="I16" s="30" t="s">
        <v>85</v>
      </c>
      <c r="J16" s="30" t="s">
        <v>85</v>
      </c>
      <c r="K16" s="30" t="s">
        <v>85</v>
      </c>
      <c r="L16" s="32" t="s">
        <v>83</v>
      </c>
      <c r="M16" s="30" t="s">
        <v>85</v>
      </c>
      <c r="N16" s="30" t="s">
        <v>85</v>
      </c>
      <c r="O16" s="30" t="s">
        <v>85</v>
      </c>
      <c r="P16" s="30" t="s">
        <v>83</v>
      </c>
      <c r="Q16" s="30" t="s">
        <v>85</v>
      </c>
      <c r="R16" s="31" t="s">
        <v>85</v>
      </c>
      <c r="S16" s="32" t="s">
        <v>85</v>
      </c>
      <c r="T16" s="30" t="s">
        <v>85</v>
      </c>
      <c r="U16" s="30" t="s">
        <v>85</v>
      </c>
      <c r="V16" s="30" t="s">
        <v>85</v>
      </c>
      <c r="W16" s="30" t="s">
        <v>85</v>
      </c>
      <c r="X16" s="30" t="s">
        <v>85</v>
      </c>
      <c r="Y16" s="30" t="s">
        <v>85</v>
      </c>
      <c r="Z16" s="32" t="s">
        <v>83</v>
      </c>
      <c r="AA16" s="30" t="s">
        <v>85</v>
      </c>
      <c r="AB16" s="30" t="s">
        <v>85</v>
      </c>
      <c r="AC16" s="30" t="s">
        <v>83</v>
      </c>
      <c r="AD16" s="30" t="s">
        <v>85</v>
      </c>
      <c r="AE16" s="30" t="s">
        <v>83</v>
      </c>
      <c r="AF16" s="30" t="s">
        <v>83</v>
      </c>
      <c r="AG16" s="28">
        <v>44713</v>
      </c>
      <c r="AH16" s="29">
        <v>44742</v>
      </c>
      <c r="AI16" s="13">
        <f t="shared" si="2"/>
        <v>22</v>
      </c>
      <c r="AJ16" s="13">
        <f t="shared" si="4"/>
        <v>0</v>
      </c>
      <c r="AK16" s="13">
        <f t="shared" si="5"/>
        <v>8</v>
      </c>
      <c r="AL16" s="26">
        <f t="shared" si="6"/>
        <v>1</v>
      </c>
    </row>
    <row r="17" spans="1:38" x14ac:dyDescent="0.3">
      <c r="A17" s="3">
        <f t="shared" si="3"/>
        <v>14</v>
      </c>
      <c r="B17" s="3" t="s">
        <v>113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2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 t="s">
        <v>85</v>
      </c>
      <c r="R17" s="31" t="s">
        <v>85</v>
      </c>
      <c r="S17" s="32" t="s">
        <v>85</v>
      </c>
      <c r="T17" s="30" t="s">
        <v>85</v>
      </c>
      <c r="U17" s="30" t="s">
        <v>85</v>
      </c>
      <c r="V17" s="30" t="s">
        <v>85</v>
      </c>
      <c r="W17" s="30" t="s">
        <v>85</v>
      </c>
      <c r="X17" s="30" t="s">
        <v>85</v>
      </c>
      <c r="Y17" s="30" t="s">
        <v>85</v>
      </c>
      <c r="Z17" s="32" t="s">
        <v>85</v>
      </c>
      <c r="AA17" s="30" t="s">
        <v>85</v>
      </c>
      <c r="AB17" s="30" t="s">
        <v>85</v>
      </c>
      <c r="AC17" s="30" t="s">
        <v>85</v>
      </c>
      <c r="AD17" s="30" t="s">
        <v>83</v>
      </c>
      <c r="AE17" s="30" t="s">
        <v>83</v>
      </c>
      <c r="AF17" s="30" t="s">
        <v>83</v>
      </c>
      <c r="AG17" s="28">
        <v>44713</v>
      </c>
      <c r="AH17" s="29">
        <v>44742</v>
      </c>
      <c r="AI17" s="13">
        <f t="shared" si="2"/>
        <v>24</v>
      </c>
      <c r="AJ17" s="13">
        <f t="shared" si="4"/>
        <v>0</v>
      </c>
      <c r="AK17" s="13">
        <f t="shared" si="5"/>
        <v>6</v>
      </c>
      <c r="AL17" s="26">
        <f t="shared" si="6"/>
        <v>1</v>
      </c>
    </row>
    <row r="18" spans="1:38" x14ac:dyDescent="0.3">
      <c r="A18" s="3">
        <f t="shared" si="3"/>
        <v>15</v>
      </c>
      <c r="B18" s="3" t="s">
        <v>15</v>
      </c>
      <c r="C18" s="30" t="s">
        <v>85</v>
      </c>
      <c r="D18" s="30" t="s">
        <v>85</v>
      </c>
      <c r="E18" s="32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85</v>
      </c>
      <c r="M18" s="30" t="s">
        <v>85</v>
      </c>
      <c r="N18" s="30" t="s">
        <v>83</v>
      </c>
      <c r="O18" s="30" t="s">
        <v>83</v>
      </c>
      <c r="P18" s="30" t="s">
        <v>83</v>
      </c>
      <c r="Q18" s="30" t="s">
        <v>83</v>
      </c>
      <c r="R18" s="31" t="s">
        <v>83</v>
      </c>
      <c r="S18" s="32" t="s">
        <v>83</v>
      </c>
      <c r="T18" s="30" t="s">
        <v>83</v>
      </c>
      <c r="U18" s="30" t="s">
        <v>83</v>
      </c>
      <c r="V18" s="30" t="s">
        <v>85</v>
      </c>
      <c r="W18" s="30" t="s">
        <v>85</v>
      </c>
      <c r="X18" s="30" t="s">
        <v>85</v>
      </c>
      <c r="Y18" s="30" t="s">
        <v>85</v>
      </c>
      <c r="Z18" s="32" t="s">
        <v>85</v>
      </c>
      <c r="AA18" s="30" t="s">
        <v>85</v>
      </c>
      <c r="AB18" s="30" t="s">
        <v>85</v>
      </c>
      <c r="AC18" s="30" t="s">
        <v>85</v>
      </c>
      <c r="AD18" s="30" t="s">
        <v>85</v>
      </c>
      <c r="AE18" s="30" t="s">
        <v>85</v>
      </c>
      <c r="AF18" s="30" t="s">
        <v>85</v>
      </c>
      <c r="AG18" s="28">
        <v>44713</v>
      </c>
      <c r="AH18" s="29">
        <v>44742</v>
      </c>
      <c r="AI18" s="13">
        <f t="shared" si="2"/>
        <v>22</v>
      </c>
      <c r="AJ18" s="13">
        <f t="shared" si="4"/>
        <v>0</v>
      </c>
      <c r="AK18" s="13">
        <f t="shared" si="5"/>
        <v>8</v>
      </c>
      <c r="AL18" s="26">
        <f t="shared" si="6"/>
        <v>1</v>
      </c>
    </row>
    <row r="19" spans="1:38" x14ac:dyDescent="0.3">
      <c r="A19" s="3">
        <f t="shared" si="3"/>
        <v>16</v>
      </c>
      <c r="B19" s="3" t="s">
        <v>16</v>
      </c>
      <c r="C19" s="30" t="s">
        <v>83</v>
      </c>
      <c r="D19" s="30" t="s">
        <v>83</v>
      </c>
      <c r="E19" s="32" t="s">
        <v>83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85</v>
      </c>
      <c r="K19" s="30" t="s">
        <v>85</v>
      </c>
      <c r="L19" s="32" t="s">
        <v>83</v>
      </c>
      <c r="M19" s="30" t="s">
        <v>85</v>
      </c>
      <c r="N19" s="30" t="s">
        <v>85</v>
      </c>
      <c r="O19" s="30" t="s">
        <v>85</v>
      </c>
      <c r="P19" s="30" t="s">
        <v>85</v>
      </c>
      <c r="Q19" s="30" t="s">
        <v>85</v>
      </c>
      <c r="R19" s="31" t="s">
        <v>85</v>
      </c>
      <c r="S19" s="32" t="s">
        <v>83</v>
      </c>
      <c r="T19" s="30" t="s">
        <v>85</v>
      </c>
      <c r="U19" s="30" t="s">
        <v>85</v>
      </c>
      <c r="V19" s="30" t="s">
        <v>131</v>
      </c>
      <c r="W19" s="30" t="s">
        <v>85</v>
      </c>
      <c r="X19" s="30" t="s">
        <v>85</v>
      </c>
      <c r="Y19" s="30" t="s">
        <v>85</v>
      </c>
      <c r="Z19" s="32" t="s">
        <v>131</v>
      </c>
      <c r="AA19" s="30" t="s">
        <v>131</v>
      </c>
      <c r="AB19" s="30" t="s">
        <v>131</v>
      </c>
      <c r="AC19" s="30" t="s">
        <v>85</v>
      </c>
      <c r="AD19" s="30" t="s">
        <v>85</v>
      </c>
      <c r="AE19" s="30" t="s">
        <v>85</v>
      </c>
      <c r="AF19" s="30" t="s">
        <v>85</v>
      </c>
      <c r="AG19" s="28">
        <v>44713</v>
      </c>
      <c r="AH19" s="29">
        <v>44742</v>
      </c>
      <c r="AI19" s="13">
        <f t="shared" si="2"/>
        <v>21</v>
      </c>
      <c r="AJ19" s="13">
        <f t="shared" si="4"/>
        <v>0</v>
      </c>
      <c r="AK19" s="13">
        <f t="shared" si="5"/>
        <v>5</v>
      </c>
      <c r="AL19" s="26">
        <f t="shared" si="6"/>
        <v>1</v>
      </c>
    </row>
    <row r="20" spans="1:38" x14ac:dyDescent="0.3">
      <c r="A20" s="3">
        <f t="shared" si="3"/>
        <v>17</v>
      </c>
      <c r="B20" s="3" t="s">
        <v>102</v>
      </c>
      <c r="C20" s="30" t="s">
        <v>85</v>
      </c>
      <c r="D20" s="30" t="s">
        <v>83</v>
      </c>
      <c r="E20" s="32" t="s">
        <v>83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2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 t="s">
        <v>85</v>
      </c>
      <c r="R20" s="31" t="s">
        <v>85</v>
      </c>
      <c r="S20" s="32" t="s">
        <v>85</v>
      </c>
      <c r="T20" s="30" t="s">
        <v>85</v>
      </c>
      <c r="U20" s="30" t="s">
        <v>85</v>
      </c>
      <c r="V20" s="30" t="s">
        <v>85</v>
      </c>
      <c r="W20" s="30" t="s">
        <v>85</v>
      </c>
      <c r="X20" s="30" t="s">
        <v>85</v>
      </c>
      <c r="Y20" s="30" t="s">
        <v>85</v>
      </c>
      <c r="Z20" s="32" t="s">
        <v>83</v>
      </c>
      <c r="AA20" s="30" t="s">
        <v>83</v>
      </c>
      <c r="AB20" s="30" t="s">
        <v>83</v>
      </c>
      <c r="AC20" s="30" t="s">
        <v>83</v>
      </c>
      <c r="AD20" s="30" t="s">
        <v>83</v>
      </c>
      <c r="AE20" s="30" t="s">
        <v>83</v>
      </c>
      <c r="AF20" s="30" t="s">
        <v>85</v>
      </c>
      <c r="AG20" s="28">
        <v>44713</v>
      </c>
      <c r="AH20" s="29">
        <v>44742</v>
      </c>
      <c r="AI20" s="13">
        <f t="shared" si="2"/>
        <v>22</v>
      </c>
      <c r="AJ20" s="13">
        <f t="shared" si="4"/>
        <v>0</v>
      </c>
      <c r="AK20" s="13">
        <f t="shared" si="5"/>
        <v>8</v>
      </c>
      <c r="AL20" s="26">
        <f t="shared" si="6"/>
        <v>1</v>
      </c>
    </row>
    <row r="21" spans="1:38" x14ac:dyDescent="0.3">
      <c r="A21" s="3">
        <f t="shared" si="3"/>
        <v>18</v>
      </c>
      <c r="B21" s="3" t="s">
        <v>17</v>
      </c>
      <c r="C21" s="30" t="s">
        <v>85</v>
      </c>
      <c r="D21" s="30" t="s">
        <v>85</v>
      </c>
      <c r="E21" s="32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2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 t="s">
        <v>85</v>
      </c>
      <c r="R21" s="31" t="s">
        <v>85</v>
      </c>
      <c r="S21" s="32" t="s">
        <v>85</v>
      </c>
      <c r="T21" s="30" t="s">
        <v>85</v>
      </c>
      <c r="U21" s="30" t="s">
        <v>85</v>
      </c>
      <c r="V21" s="30" t="s">
        <v>85</v>
      </c>
      <c r="W21" s="30" t="s">
        <v>85</v>
      </c>
      <c r="X21" s="30" t="s">
        <v>85</v>
      </c>
      <c r="Y21" s="30" t="s">
        <v>85</v>
      </c>
      <c r="Z21" s="32" t="s">
        <v>85</v>
      </c>
      <c r="AA21" s="30" t="s">
        <v>85</v>
      </c>
      <c r="AB21" s="30" t="s">
        <v>85</v>
      </c>
      <c r="AC21" s="30" t="s">
        <v>85</v>
      </c>
      <c r="AD21" s="30" t="s">
        <v>85</v>
      </c>
      <c r="AE21" s="30" t="s">
        <v>85</v>
      </c>
      <c r="AF21" s="30" t="s">
        <v>85</v>
      </c>
      <c r="AG21" s="28">
        <v>44713</v>
      </c>
      <c r="AH21" s="29">
        <v>44742</v>
      </c>
      <c r="AI21" s="13">
        <f t="shared" si="2"/>
        <v>30</v>
      </c>
      <c r="AJ21" s="13">
        <f t="shared" si="4"/>
        <v>0</v>
      </c>
      <c r="AK21" s="13">
        <f t="shared" si="5"/>
        <v>0</v>
      </c>
      <c r="AL21" s="26">
        <f t="shared" si="6"/>
        <v>1</v>
      </c>
    </row>
    <row r="22" spans="1:38" x14ac:dyDescent="0.3">
      <c r="A22" s="3">
        <f t="shared" si="3"/>
        <v>19</v>
      </c>
      <c r="B22" s="3" t="s">
        <v>18</v>
      </c>
      <c r="C22" s="30" t="s">
        <v>85</v>
      </c>
      <c r="D22" s="30" t="s">
        <v>85</v>
      </c>
      <c r="E22" s="32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2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 t="s">
        <v>85</v>
      </c>
      <c r="R22" s="31" t="s">
        <v>85</v>
      </c>
      <c r="S22" s="32" t="s">
        <v>85</v>
      </c>
      <c r="T22" s="30" t="s">
        <v>85</v>
      </c>
      <c r="U22" s="30" t="s">
        <v>85</v>
      </c>
      <c r="V22" s="30" t="s">
        <v>85</v>
      </c>
      <c r="W22" s="30" t="s">
        <v>85</v>
      </c>
      <c r="X22" s="30" t="s">
        <v>85</v>
      </c>
      <c r="Y22" s="30" t="s">
        <v>85</v>
      </c>
      <c r="Z22" s="32" t="s">
        <v>85</v>
      </c>
      <c r="AA22" s="30" t="s">
        <v>85</v>
      </c>
      <c r="AB22" s="30" t="s">
        <v>85</v>
      </c>
      <c r="AC22" s="30" t="s">
        <v>85</v>
      </c>
      <c r="AD22" s="30" t="s">
        <v>85</v>
      </c>
      <c r="AE22" s="30" t="s">
        <v>85</v>
      </c>
      <c r="AF22" s="30" t="s">
        <v>85</v>
      </c>
      <c r="AG22" s="28">
        <v>44713</v>
      </c>
      <c r="AH22" s="29">
        <v>44742</v>
      </c>
      <c r="AI22" s="13">
        <f t="shared" si="2"/>
        <v>30</v>
      </c>
      <c r="AJ22" s="13">
        <f t="shared" si="4"/>
        <v>0</v>
      </c>
      <c r="AK22" s="13">
        <f t="shared" si="5"/>
        <v>0</v>
      </c>
      <c r="AL22" s="26">
        <f t="shared" si="6"/>
        <v>1</v>
      </c>
    </row>
    <row r="23" spans="1:38" x14ac:dyDescent="0.3">
      <c r="A23" s="3">
        <f t="shared" si="3"/>
        <v>20</v>
      </c>
      <c r="B23" s="3" t="s">
        <v>19</v>
      </c>
      <c r="C23" s="30" t="s">
        <v>85</v>
      </c>
      <c r="D23" s="30" t="s">
        <v>85</v>
      </c>
      <c r="E23" s="32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2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 t="s">
        <v>85</v>
      </c>
      <c r="R23" s="31" t="s">
        <v>85</v>
      </c>
      <c r="S23" s="32" t="s">
        <v>85</v>
      </c>
      <c r="T23" s="30" t="s">
        <v>85</v>
      </c>
      <c r="U23" s="30" t="s">
        <v>85</v>
      </c>
      <c r="V23" s="30" t="s">
        <v>85</v>
      </c>
      <c r="W23" s="30" t="s">
        <v>85</v>
      </c>
      <c r="X23" s="30" t="s">
        <v>85</v>
      </c>
      <c r="Y23" s="30" t="s">
        <v>85</v>
      </c>
      <c r="Z23" s="32" t="s">
        <v>85</v>
      </c>
      <c r="AA23" s="30" t="s">
        <v>85</v>
      </c>
      <c r="AB23" s="30" t="s">
        <v>85</v>
      </c>
      <c r="AC23" s="30" t="s">
        <v>85</v>
      </c>
      <c r="AD23" s="30" t="s">
        <v>85</v>
      </c>
      <c r="AE23" s="30" t="s">
        <v>85</v>
      </c>
      <c r="AF23" s="30" t="s">
        <v>85</v>
      </c>
      <c r="AG23" s="28">
        <v>44713</v>
      </c>
      <c r="AH23" s="29">
        <v>44742</v>
      </c>
      <c r="AI23" s="13">
        <f t="shared" si="2"/>
        <v>30</v>
      </c>
      <c r="AJ23" s="13">
        <f t="shared" si="4"/>
        <v>0</v>
      </c>
      <c r="AK23" s="13">
        <f t="shared" si="5"/>
        <v>0</v>
      </c>
      <c r="AL23" s="26">
        <f t="shared" si="6"/>
        <v>1</v>
      </c>
    </row>
    <row r="24" spans="1:38" x14ac:dyDescent="0.3">
      <c r="A24" s="3">
        <f t="shared" si="3"/>
        <v>21</v>
      </c>
      <c r="B24" s="3" t="s">
        <v>20</v>
      </c>
      <c r="C24" s="30" t="s">
        <v>84</v>
      </c>
      <c r="D24" s="30" t="s">
        <v>84</v>
      </c>
      <c r="E24" s="32" t="s">
        <v>84</v>
      </c>
      <c r="F24" s="30" t="s">
        <v>84</v>
      </c>
      <c r="G24" s="30" t="s">
        <v>84</v>
      </c>
      <c r="H24" s="30" t="s">
        <v>84</v>
      </c>
      <c r="I24" s="30" t="s">
        <v>84</v>
      </c>
      <c r="J24" s="30" t="s">
        <v>84</v>
      </c>
      <c r="K24" s="30" t="s">
        <v>84</v>
      </c>
      <c r="L24" s="32" t="s">
        <v>85</v>
      </c>
      <c r="M24" s="30" t="s">
        <v>85</v>
      </c>
      <c r="N24" s="30" t="s">
        <v>85</v>
      </c>
      <c r="O24" s="30" t="s">
        <v>85</v>
      </c>
      <c r="P24" s="30" t="s">
        <v>85</v>
      </c>
      <c r="Q24" s="30" t="s">
        <v>85</v>
      </c>
      <c r="R24" s="31" t="s">
        <v>85</v>
      </c>
      <c r="S24" s="32" t="s">
        <v>83</v>
      </c>
      <c r="T24" s="30" t="s">
        <v>84</v>
      </c>
      <c r="U24" s="30" t="s">
        <v>84</v>
      </c>
      <c r="V24" s="30" t="s">
        <v>84</v>
      </c>
      <c r="W24" s="30" t="s">
        <v>84</v>
      </c>
      <c r="X24" s="30" t="s">
        <v>84</v>
      </c>
      <c r="Y24" s="30" t="s">
        <v>84</v>
      </c>
      <c r="Z24" s="32" t="s">
        <v>83</v>
      </c>
      <c r="AA24" s="30" t="s">
        <v>84</v>
      </c>
      <c r="AB24" s="30" t="s">
        <v>85</v>
      </c>
      <c r="AC24" s="30" t="s">
        <v>85</v>
      </c>
      <c r="AD24" s="30" t="s">
        <v>85</v>
      </c>
      <c r="AE24" s="30" t="s">
        <v>85</v>
      </c>
      <c r="AF24" s="30" t="s">
        <v>85</v>
      </c>
      <c r="AG24" s="28">
        <v>44713</v>
      </c>
      <c r="AH24" s="29">
        <v>44742</v>
      </c>
      <c r="AI24" s="13">
        <f t="shared" si="2"/>
        <v>12</v>
      </c>
      <c r="AJ24" s="13">
        <f t="shared" si="4"/>
        <v>0</v>
      </c>
      <c r="AK24" s="13">
        <f t="shared" si="5"/>
        <v>2</v>
      </c>
      <c r="AL24" s="26">
        <f t="shared" si="6"/>
        <v>1</v>
      </c>
    </row>
    <row r="25" spans="1:38" x14ac:dyDescent="0.3">
      <c r="A25" s="3">
        <f t="shared" si="3"/>
        <v>22</v>
      </c>
      <c r="B25" s="3" t="s">
        <v>21</v>
      </c>
      <c r="C25" s="30" t="s">
        <v>83</v>
      </c>
      <c r="D25" s="30" t="s">
        <v>83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85</v>
      </c>
      <c r="K25" s="30" t="s">
        <v>85</v>
      </c>
      <c r="L25" s="32" t="s">
        <v>85</v>
      </c>
      <c r="M25" s="30" t="s">
        <v>85</v>
      </c>
      <c r="N25" s="30" t="s">
        <v>85</v>
      </c>
      <c r="O25" s="30" t="s">
        <v>85</v>
      </c>
      <c r="P25" s="30" t="s">
        <v>85</v>
      </c>
      <c r="Q25" s="30" t="s">
        <v>85</v>
      </c>
      <c r="R25" s="31" t="s">
        <v>85</v>
      </c>
      <c r="S25" s="32" t="s">
        <v>85</v>
      </c>
      <c r="T25" s="30" t="s">
        <v>85</v>
      </c>
      <c r="U25" s="30" t="s">
        <v>85</v>
      </c>
      <c r="V25" s="30" t="s">
        <v>85</v>
      </c>
      <c r="W25" s="30" t="s">
        <v>85</v>
      </c>
      <c r="X25" s="30" t="s">
        <v>85</v>
      </c>
      <c r="Y25" s="30" t="s">
        <v>85</v>
      </c>
      <c r="Z25" s="32" t="s">
        <v>85</v>
      </c>
      <c r="AA25" s="30" t="s">
        <v>85</v>
      </c>
      <c r="AB25" s="30" t="s">
        <v>85</v>
      </c>
      <c r="AC25" s="30" t="s">
        <v>85</v>
      </c>
      <c r="AD25" s="30" t="s">
        <v>83</v>
      </c>
      <c r="AE25" s="30" t="s">
        <v>83</v>
      </c>
      <c r="AF25" s="30" t="s">
        <v>83</v>
      </c>
      <c r="AG25" s="28">
        <v>44713</v>
      </c>
      <c r="AH25" s="29">
        <v>44742</v>
      </c>
      <c r="AI25" s="13">
        <f t="shared" si="2"/>
        <v>25</v>
      </c>
      <c r="AJ25" s="13">
        <f t="shared" si="4"/>
        <v>0</v>
      </c>
      <c r="AK25" s="13">
        <f t="shared" si="5"/>
        <v>5</v>
      </c>
      <c r="AL25" s="26">
        <f t="shared" si="6"/>
        <v>1</v>
      </c>
    </row>
    <row r="26" spans="1:38" x14ac:dyDescent="0.3">
      <c r="A26" s="3">
        <f t="shared" si="3"/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2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 t="s">
        <v>85</v>
      </c>
      <c r="R26" s="31" t="s">
        <v>85</v>
      </c>
      <c r="S26" s="32" t="s">
        <v>85</v>
      </c>
      <c r="T26" s="30" t="s">
        <v>85</v>
      </c>
      <c r="U26" s="30" t="s">
        <v>85</v>
      </c>
      <c r="V26" s="30" t="s">
        <v>85</v>
      </c>
      <c r="W26" s="30" t="s">
        <v>85</v>
      </c>
      <c r="X26" s="30" t="s">
        <v>85</v>
      </c>
      <c r="Y26" s="30" t="s">
        <v>85</v>
      </c>
      <c r="Z26" s="32" t="s">
        <v>85</v>
      </c>
      <c r="AA26" s="30" t="s">
        <v>85</v>
      </c>
      <c r="AB26" s="30" t="s">
        <v>85</v>
      </c>
      <c r="AC26" s="30" t="s">
        <v>83</v>
      </c>
      <c r="AD26" s="30" t="s">
        <v>83</v>
      </c>
      <c r="AE26" s="30" t="s">
        <v>83</v>
      </c>
      <c r="AF26" s="30" t="s">
        <v>83</v>
      </c>
      <c r="AG26" s="28">
        <v>44713</v>
      </c>
      <c r="AH26" s="29">
        <v>44742</v>
      </c>
      <c r="AI26" s="13">
        <f t="shared" si="2"/>
        <v>22</v>
      </c>
      <c r="AJ26" s="13">
        <f t="shared" si="4"/>
        <v>0</v>
      </c>
      <c r="AK26" s="13">
        <f t="shared" si="5"/>
        <v>8</v>
      </c>
      <c r="AL26" s="26">
        <f t="shared" si="6"/>
        <v>1</v>
      </c>
    </row>
    <row r="27" spans="1:38" x14ac:dyDescent="0.3">
      <c r="A27" s="3">
        <f t="shared" si="3"/>
        <v>24</v>
      </c>
      <c r="B27" s="3" t="s">
        <v>23</v>
      </c>
      <c r="C27" s="30" t="s">
        <v>85</v>
      </c>
      <c r="D27" s="30" t="s">
        <v>85</v>
      </c>
      <c r="E27" s="32" t="s">
        <v>84</v>
      </c>
      <c r="F27" s="30" t="s">
        <v>84</v>
      </c>
      <c r="G27" s="30" t="s">
        <v>84</v>
      </c>
      <c r="H27" s="30" t="s">
        <v>84</v>
      </c>
      <c r="I27" s="30" t="s">
        <v>86</v>
      </c>
      <c r="J27" s="30" t="s">
        <v>85</v>
      </c>
      <c r="K27" s="30" t="s">
        <v>85</v>
      </c>
      <c r="L27" s="32" t="s">
        <v>85</v>
      </c>
      <c r="M27" s="30" t="s">
        <v>85</v>
      </c>
      <c r="N27" s="30" t="s">
        <v>85</v>
      </c>
      <c r="O27" s="30" t="s">
        <v>85</v>
      </c>
      <c r="P27" s="30" t="s">
        <v>85</v>
      </c>
      <c r="Q27" s="30" t="s">
        <v>85</v>
      </c>
      <c r="R27" s="31" t="s">
        <v>83</v>
      </c>
      <c r="S27" s="32" t="s">
        <v>83</v>
      </c>
      <c r="T27" s="31" t="s">
        <v>83</v>
      </c>
      <c r="U27" s="31" t="s">
        <v>83</v>
      </c>
      <c r="V27" s="31" t="s">
        <v>83</v>
      </c>
      <c r="W27" s="31" t="s">
        <v>83</v>
      </c>
      <c r="X27" s="31" t="s">
        <v>83</v>
      </c>
      <c r="Y27" s="30" t="s">
        <v>83</v>
      </c>
      <c r="Z27" s="32" t="s">
        <v>83</v>
      </c>
      <c r="AA27" s="30" t="s">
        <v>83</v>
      </c>
      <c r="AB27" s="30" t="s">
        <v>85</v>
      </c>
      <c r="AC27" s="30" t="s">
        <v>85</v>
      </c>
      <c r="AD27" s="30" t="s">
        <v>85</v>
      </c>
      <c r="AE27" s="30" t="s">
        <v>85</v>
      </c>
      <c r="AF27" s="30" t="s">
        <v>85</v>
      </c>
      <c r="AG27" s="28">
        <v>44713</v>
      </c>
      <c r="AH27" s="29">
        <v>44742</v>
      </c>
      <c r="AI27" s="13">
        <f t="shared" si="2"/>
        <v>15</v>
      </c>
      <c r="AJ27" s="13">
        <f t="shared" si="4"/>
        <v>0</v>
      </c>
      <c r="AK27" s="13">
        <f t="shared" si="5"/>
        <v>10</v>
      </c>
      <c r="AL27" s="26">
        <f t="shared" si="6"/>
        <v>1</v>
      </c>
    </row>
    <row r="28" spans="1:38" x14ac:dyDescent="0.3">
      <c r="A28" s="3">
        <f t="shared" si="3"/>
        <v>25</v>
      </c>
      <c r="B28" s="3" t="s">
        <v>24</v>
      </c>
      <c r="C28" s="30" t="s">
        <v>85</v>
      </c>
      <c r="D28" s="30" t="s">
        <v>85</v>
      </c>
      <c r="E28" s="32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2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 t="s">
        <v>85</v>
      </c>
      <c r="R28" s="31" t="s">
        <v>83</v>
      </c>
      <c r="S28" s="32" t="s">
        <v>83</v>
      </c>
      <c r="T28" s="30" t="s">
        <v>83</v>
      </c>
      <c r="U28" s="30" t="s">
        <v>83</v>
      </c>
      <c r="V28" s="30" t="s">
        <v>83</v>
      </c>
      <c r="W28" s="30" t="s">
        <v>83</v>
      </c>
      <c r="X28" s="30" t="s">
        <v>83</v>
      </c>
      <c r="Y28" s="30" t="s">
        <v>83</v>
      </c>
      <c r="Z28" s="32" t="s">
        <v>83</v>
      </c>
      <c r="AA28" s="30" t="s">
        <v>83</v>
      </c>
      <c r="AB28" s="30" t="s">
        <v>85</v>
      </c>
      <c r="AC28" s="30" t="s">
        <v>85</v>
      </c>
      <c r="AD28" s="30" t="s">
        <v>85</v>
      </c>
      <c r="AE28" s="30" t="s">
        <v>85</v>
      </c>
      <c r="AF28" s="30" t="s">
        <v>85</v>
      </c>
      <c r="AG28" s="28">
        <v>44713</v>
      </c>
      <c r="AH28" s="29">
        <v>44742</v>
      </c>
      <c r="AI28" s="13">
        <f t="shared" si="2"/>
        <v>20</v>
      </c>
      <c r="AJ28" s="13">
        <f t="shared" si="4"/>
        <v>0</v>
      </c>
      <c r="AK28" s="13">
        <f t="shared" si="5"/>
        <v>10</v>
      </c>
      <c r="AL28" s="26">
        <f t="shared" si="6"/>
        <v>1</v>
      </c>
    </row>
    <row r="29" spans="1:38" x14ac:dyDescent="0.3">
      <c r="A29" s="3">
        <f t="shared" si="3"/>
        <v>26</v>
      </c>
      <c r="B29" s="3" t="s">
        <v>25</v>
      </c>
      <c r="C29" s="30" t="s">
        <v>84</v>
      </c>
      <c r="D29" s="30" t="s">
        <v>84</v>
      </c>
      <c r="E29" s="32" t="s">
        <v>84</v>
      </c>
      <c r="F29" s="30" t="s">
        <v>84</v>
      </c>
      <c r="G29" s="30" t="s">
        <v>84</v>
      </c>
      <c r="H29" s="30" t="s">
        <v>84</v>
      </c>
      <c r="I29" s="30" t="s">
        <v>84</v>
      </c>
      <c r="J29" s="30" t="s">
        <v>84</v>
      </c>
      <c r="K29" s="30" t="s">
        <v>84</v>
      </c>
      <c r="L29" s="32" t="s">
        <v>85</v>
      </c>
      <c r="M29" s="30" t="s">
        <v>85</v>
      </c>
      <c r="N29" s="30" t="s">
        <v>85</v>
      </c>
      <c r="O29" s="30" t="s">
        <v>83</v>
      </c>
      <c r="P29" s="30" t="s">
        <v>83</v>
      </c>
      <c r="Q29" s="30" t="s">
        <v>83</v>
      </c>
      <c r="R29" s="31" t="s">
        <v>83</v>
      </c>
      <c r="S29" s="32" t="s">
        <v>83</v>
      </c>
      <c r="T29" s="30" t="s">
        <v>83</v>
      </c>
      <c r="U29" s="30" t="s">
        <v>83</v>
      </c>
      <c r="V29" s="30" t="s">
        <v>83</v>
      </c>
      <c r="W29" s="30" t="s">
        <v>83</v>
      </c>
      <c r="X29" s="30" t="s">
        <v>85</v>
      </c>
      <c r="Y29" s="30" t="s">
        <v>85</v>
      </c>
      <c r="Z29" s="32" t="s">
        <v>85</v>
      </c>
      <c r="AA29" s="30" t="s">
        <v>85</v>
      </c>
      <c r="AB29" s="30" t="s">
        <v>85</v>
      </c>
      <c r="AC29" s="30" t="s">
        <v>85</v>
      </c>
      <c r="AD29" s="30" t="s">
        <v>85</v>
      </c>
      <c r="AE29" s="30" t="s">
        <v>85</v>
      </c>
      <c r="AF29" s="30" t="s">
        <v>85</v>
      </c>
      <c r="AG29" s="28">
        <v>44713</v>
      </c>
      <c r="AH29" s="29">
        <v>44742</v>
      </c>
      <c r="AI29" s="13">
        <f t="shared" si="2"/>
        <v>12</v>
      </c>
      <c r="AJ29" s="13">
        <f t="shared" si="4"/>
        <v>0</v>
      </c>
      <c r="AK29" s="13">
        <f t="shared" si="5"/>
        <v>9</v>
      </c>
      <c r="AL29" s="26">
        <f t="shared" si="6"/>
        <v>1</v>
      </c>
    </row>
    <row r="30" spans="1:38" x14ac:dyDescent="0.3">
      <c r="A30" s="3">
        <f t="shared" si="3"/>
        <v>27</v>
      </c>
      <c r="B30" s="3" t="s">
        <v>26</v>
      </c>
      <c r="C30" s="30" t="s">
        <v>84</v>
      </c>
      <c r="D30" s="30" t="s">
        <v>84</v>
      </c>
      <c r="E30" s="32" t="s">
        <v>84</v>
      </c>
      <c r="F30" s="30" t="s">
        <v>84</v>
      </c>
      <c r="G30" s="30" t="s">
        <v>84</v>
      </c>
      <c r="H30" s="30" t="s">
        <v>84</v>
      </c>
      <c r="I30" s="30" t="s">
        <v>84</v>
      </c>
      <c r="J30" s="30" t="s">
        <v>84</v>
      </c>
      <c r="K30" s="30" t="s">
        <v>84</v>
      </c>
      <c r="L30" s="32" t="s">
        <v>84</v>
      </c>
      <c r="M30" s="30" t="s">
        <v>84</v>
      </c>
      <c r="N30" s="30" t="s">
        <v>84</v>
      </c>
      <c r="O30" s="30" t="s">
        <v>84</v>
      </c>
      <c r="P30" s="30" t="s">
        <v>84</v>
      </c>
      <c r="Q30" s="30" t="s">
        <v>84</v>
      </c>
      <c r="R30" s="31" t="s">
        <v>84</v>
      </c>
      <c r="S30" s="32" t="s">
        <v>84</v>
      </c>
      <c r="T30" s="30" t="s">
        <v>84</v>
      </c>
      <c r="U30" s="30" t="s">
        <v>84</v>
      </c>
      <c r="V30" s="30" t="s">
        <v>84</v>
      </c>
      <c r="W30" s="30" t="s">
        <v>84</v>
      </c>
      <c r="X30" s="30" t="s">
        <v>84</v>
      </c>
      <c r="Y30" s="30" t="s">
        <v>84</v>
      </c>
      <c r="Z30" s="30" t="s">
        <v>84</v>
      </c>
      <c r="AA30" s="30" t="s">
        <v>84</v>
      </c>
      <c r="AB30" s="30" t="s">
        <v>84</v>
      </c>
      <c r="AC30" s="30" t="s">
        <v>84</v>
      </c>
      <c r="AD30" s="30" t="s">
        <v>84</v>
      </c>
      <c r="AE30" s="30" t="s">
        <v>84</v>
      </c>
      <c r="AF30" s="30" t="s">
        <v>84</v>
      </c>
      <c r="AG30" s="28">
        <v>44713</v>
      </c>
      <c r="AH30" s="29">
        <v>44742</v>
      </c>
      <c r="AI30" s="13">
        <f t="shared" si="2"/>
        <v>0</v>
      </c>
      <c r="AJ30" s="13">
        <f t="shared" si="4"/>
        <v>0</v>
      </c>
      <c r="AK30" s="13">
        <f t="shared" si="5"/>
        <v>0</v>
      </c>
      <c r="AL30" s="26">
        <f t="shared" si="6"/>
        <v>1</v>
      </c>
    </row>
    <row r="31" spans="1:38" x14ac:dyDescent="0.3">
      <c r="A31" s="3">
        <f t="shared" si="3"/>
        <v>28</v>
      </c>
      <c r="B31" s="3" t="s">
        <v>27</v>
      </c>
      <c r="C31" s="30" t="s">
        <v>85</v>
      </c>
      <c r="D31" s="30" t="s">
        <v>85</v>
      </c>
      <c r="E31" s="32" t="s">
        <v>85</v>
      </c>
      <c r="F31" s="30" t="s">
        <v>85</v>
      </c>
      <c r="G31" s="30" t="s">
        <v>85</v>
      </c>
      <c r="H31" s="30" t="s">
        <v>85</v>
      </c>
      <c r="I31" s="30" t="s">
        <v>85</v>
      </c>
      <c r="J31" s="30" t="s">
        <v>85</v>
      </c>
      <c r="K31" s="30" t="s">
        <v>85</v>
      </c>
      <c r="L31" s="32" t="s">
        <v>85</v>
      </c>
      <c r="M31" s="30" t="s">
        <v>85</v>
      </c>
      <c r="N31" s="30" t="s">
        <v>85</v>
      </c>
      <c r="O31" s="30" t="s">
        <v>85</v>
      </c>
      <c r="P31" s="30" t="s">
        <v>85</v>
      </c>
      <c r="Q31" s="30" t="s">
        <v>85</v>
      </c>
      <c r="R31" s="31" t="s">
        <v>85</v>
      </c>
      <c r="S31" s="32" t="s">
        <v>85</v>
      </c>
      <c r="T31" s="30" t="s">
        <v>85</v>
      </c>
      <c r="U31" s="30" t="s">
        <v>85</v>
      </c>
      <c r="V31" s="30" t="s">
        <v>85</v>
      </c>
      <c r="W31" s="30" t="s">
        <v>85</v>
      </c>
      <c r="X31" s="30" t="s">
        <v>85</v>
      </c>
      <c r="Y31" s="30" t="s">
        <v>85</v>
      </c>
      <c r="Z31" s="32" t="s">
        <v>85</v>
      </c>
      <c r="AA31" s="30" t="s">
        <v>85</v>
      </c>
      <c r="AB31" s="30" t="s">
        <v>85</v>
      </c>
      <c r="AC31" s="30" t="s">
        <v>85</v>
      </c>
      <c r="AD31" s="30" t="s">
        <v>85</v>
      </c>
      <c r="AE31" s="30" t="s">
        <v>85</v>
      </c>
      <c r="AF31" s="30" t="s">
        <v>85</v>
      </c>
      <c r="AG31" s="28">
        <v>44713</v>
      </c>
      <c r="AH31" s="29">
        <v>44742</v>
      </c>
      <c r="AI31" s="13">
        <f t="shared" si="2"/>
        <v>30</v>
      </c>
      <c r="AJ31" s="13">
        <f t="shared" si="4"/>
        <v>0</v>
      </c>
      <c r="AK31" s="13">
        <f t="shared" si="5"/>
        <v>0</v>
      </c>
      <c r="AL31" s="26">
        <f t="shared" si="6"/>
        <v>1</v>
      </c>
    </row>
    <row r="32" spans="1:38" x14ac:dyDescent="0.3">
      <c r="A32" s="3">
        <f t="shared" si="3"/>
        <v>29</v>
      </c>
      <c r="B32" s="3" t="s">
        <v>28</v>
      </c>
      <c r="C32" s="30" t="s">
        <v>83</v>
      </c>
      <c r="D32" s="30" t="s">
        <v>83</v>
      </c>
      <c r="E32" s="32" t="s">
        <v>85</v>
      </c>
      <c r="F32" s="30" t="s">
        <v>85</v>
      </c>
      <c r="G32" s="30" t="s">
        <v>85</v>
      </c>
      <c r="H32" s="30" t="s">
        <v>85</v>
      </c>
      <c r="I32" s="30" t="s">
        <v>85</v>
      </c>
      <c r="J32" s="30" t="s">
        <v>85</v>
      </c>
      <c r="K32" s="30" t="s">
        <v>85</v>
      </c>
      <c r="L32" s="32" t="s">
        <v>85</v>
      </c>
      <c r="M32" s="30" t="s">
        <v>85</v>
      </c>
      <c r="N32" s="30" t="s">
        <v>85</v>
      </c>
      <c r="O32" s="30" t="s">
        <v>85</v>
      </c>
      <c r="P32" s="30" t="s">
        <v>85</v>
      </c>
      <c r="Q32" s="30" t="s">
        <v>85</v>
      </c>
      <c r="R32" s="31" t="s">
        <v>85</v>
      </c>
      <c r="S32" s="32" t="s">
        <v>85</v>
      </c>
      <c r="T32" s="30" t="s">
        <v>85</v>
      </c>
      <c r="U32" s="30" t="s">
        <v>85</v>
      </c>
      <c r="V32" s="30" t="s">
        <v>85</v>
      </c>
      <c r="W32" s="30" t="s">
        <v>85</v>
      </c>
      <c r="X32" s="30" t="s">
        <v>85</v>
      </c>
      <c r="Y32" s="30" t="s">
        <v>85</v>
      </c>
      <c r="Z32" s="32" t="s">
        <v>85</v>
      </c>
      <c r="AA32" s="30" t="s">
        <v>85</v>
      </c>
      <c r="AB32" s="30" t="s">
        <v>85</v>
      </c>
      <c r="AC32" s="30" t="s">
        <v>85</v>
      </c>
      <c r="AD32" s="30" t="s">
        <v>85</v>
      </c>
      <c r="AE32" s="30" t="s">
        <v>85</v>
      </c>
      <c r="AF32" s="30" t="s">
        <v>85</v>
      </c>
      <c r="AG32" s="28">
        <v>44713</v>
      </c>
      <c r="AH32" s="29">
        <v>44742</v>
      </c>
      <c r="AI32" s="13">
        <f t="shared" si="2"/>
        <v>28</v>
      </c>
      <c r="AJ32" s="13">
        <f t="shared" si="4"/>
        <v>0</v>
      </c>
      <c r="AK32" s="13">
        <f t="shared" si="5"/>
        <v>2</v>
      </c>
      <c r="AL32" s="26">
        <f t="shared" si="6"/>
        <v>1</v>
      </c>
    </row>
    <row r="33" spans="1:38" x14ac:dyDescent="0.3">
      <c r="A33" s="3">
        <f t="shared" si="3"/>
        <v>30</v>
      </c>
      <c r="B33" s="3" t="s">
        <v>120</v>
      </c>
      <c r="C33" s="30" t="s">
        <v>83</v>
      </c>
      <c r="D33" s="30" t="s">
        <v>83</v>
      </c>
      <c r="E33" s="32" t="s">
        <v>83</v>
      </c>
      <c r="F33" s="30" t="s">
        <v>83</v>
      </c>
      <c r="G33" s="30" t="s">
        <v>83</v>
      </c>
      <c r="H33" s="30" t="s">
        <v>83</v>
      </c>
      <c r="I33" s="30" t="s">
        <v>85</v>
      </c>
      <c r="J33" s="30" t="s">
        <v>85</v>
      </c>
      <c r="K33" s="30" t="s">
        <v>85</v>
      </c>
      <c r="L33" s="32" t="s">
        <v>85</v>
      </c>
      <c r="M33" s="30" t="s">
        <v>85</v>
      </c>
      <c r="N33" s="30" t="s">
        <v>85</v>
      </c>
      <c r="O33" s="30" t="s">
        <v>85</v>
      </c>
      <c r="P33" s="30" t="s">
        <v>85</v>
      </c>
      <c r="Q33" s="30" t="s">
        <v>85</v>
      </c>
      <c r="R33" s="31" t="s">
        <v>85</v>
      </c>
      <c r="S33" s="32" t="s">
        <v>85</v>
      </c>
      <c r="T33" s="30" t="s">
        <v>85</v>
      </c>
      <c r="U33" s="30" t="s">
        <v>85</v>
      </c>
      <c r="V33" s="30" t="s">
        <v>85</v>
      </c>
      <c r="W33" s="30" t="s">
        <v>85</v>
      </c>
      <c r="X33" s="30" t="s">
        <v>85</v>
      </c>
      <c r="Y33" s="30" t="s">
        <v>85</v>
      </c>
      <c r="Z33" s="32" t="s">
        <v>85</v>
      </c>
      <c r="AA33" s="30" t="s">
        <v>85</v>
      </c>
      <c r="AB33" s="30" t="s">
        <v>85</v>
      </c>
      <c r="AC33" s="30" t="s">
        <v>85</v>
      </c>
      <c r="AD33" s="30" t="s">
        <v>85</v>
      </c>
      <c r="AE33" s="30" t="s">
        <v>85</v>
      </c>
      <c r="AF33" s="30" t="s">
        <v>85</v>
      </c>
      <c r="AG33" s="28">
        <v>44713</v>
      </c>
      <c r="AH33" s="29">
        <v>44742</v>
      </c>
      <c r="AI33" s="13">
        <f t="shared" si="2"/>
        <v>24</v>
      </c>
      <c r="AJ33" s="13">
        <f t="shared" si="4"/>
        <v>0</v>
      </c>
      <c r="AK33" s="13">
        <f t="shared" si="5"/>
        <v>6</v>
      </c>
      <c r="AL33" s="26">
        <f t="shared" si="6"/>
        <v>1</v>
      </c>
    </row>
    <row r="34" spans="1:38" x14ac:dyDescent="0.3">
      <c r="A34" s="3">
        <f t="shared" si="3"/>
        <v>31</v>
      </c>
      <c r="B34" s="3" t="s">
        <v>30</v>
      </c>
      <c r="C34" s="30" t="s">
        <v>83</v>
      </c>
      <c r="D34" s="30" t="s">
        <v>83</v>
      </c>
      <c r="E34" s="32" t="s">
        <v>83</v>
      </c>
      <c r="F34" s="30" t="s">
        <v>83</v>
      </c>
      <c r="G34" s="30" t="s">
        <v>83</v>
      </c>
      <c r="H34" s="30" t="s">
        <v>85</v>
      </c>
      <c r="I34" s="30" t="s">
        <v>85</v>
      </c>
      <c r="J34" s="30" t="s">
        <v>85</v>
      </c>
      <c r="K34" s="30" t="s">
        <v>85</v>
      </c>
      <c r="L34" s="32" t="s">
        <v>85</v>
      </c>
      <c r="M34" s="30" t="s">
        <v>85</v>
      </c>
      <c r="N34" s="30" t="s">
        <v>85</v>
      </c>
      <c r="O34" s="30" t="s">
        <v>85</v>
      </c>
      <c r="P34" s="30" t="s">
        <v>85</v>
      </c>
      <c r="Q34" s="30" t="s">
        <v>85</v>
      </c>
      <c r="R34" s="31" t="s">
        <v>85</v>
      </c>
      <c r="S34" s="32" t="s">
        <v>85</v>
      </c>
      <c r="T34" s="30" t="s">
        <v>85</v>
      </c>
      <c r="U34" s="30" t="s">
        <v>85</v>
      </c>
      <c r="V34" s="30" t="s">
        <v>85</v>
      </c>
      <c r="W34" s="30" t="s">
        <v>85</v>
      </c>
      <c r="X34" s="30" t="s">
        <v>85</v>
      </c>
      <c r="Y34" s="30" t="s">
        <v>85</v>
      </c>
      <c r="Z34" s="32" t="s">
        <v>85</v>
      </c>
      <c r="AA34" s="30" t="s">
        <v>85</v>
      </c>
      <c r="AB34" s="30" t="s">
        <v>85</v>
      </c>
      <c r="AC34" s="30" t="s">
        <v>85</v>
      </c>
      <c r="AD34" s="30" t="s">
        <v>85</v>
      </c>
      <c r="AE34" s="30" t="s">
        <v>85</v>
      </c>
      <c r="AF34" s="30" t="s">
        <v>85</v>
      </c>
      <c r="AG34" s="28">
        <v>44713</v>
      </c>
      <c r="AH34" s="29">
        <v>44742</v>
      </c>
      <c r="AI34" s="13">
        <f t="shared" si="2"/>
        <v>25</v>
      </c>
      <c r="AJ34" s="13">
        <f t="shared" si="4"/>
        <v>0</v>
      </c>
      <c r="AK34" s="13">
        <f t="shared" si="5"/>
        <v>5</v>
      </c>
      <c r="AL34" s="26">
        <f t="shared" si="6"/>
        <v>1</v>
      </c>
    </row>
    <row r="35" spans="1:38" s="2" customFormat="1" x14ac:dyDescent="0.3">
      <c r="A35" s="3">
        <f t="shared" si="3"/>
        <v>32</v>
      </c>
      <c r="B35" s="3" t="s">
        <v>32</v>
      </c>
      <c r="C35" s="30" t="s">
        <v>83</v>
      </c>
      <c r="D35" s="30" t="s">
        <v>85</v>
      </c>
      <c r="E35" s="32" t="s">
        <v>85</v>
      </c>
      <c r="F35" s="30" t="s">
        <v>85</v>
      </c>
      <c r="G35" s="30" t="s">
        <v>85</v>
      </c>
      <c r="H35" s="30" t="s">
        <v>85</v>
      </c>
      <c r="I35" s="30" t="s">
        <v>85</v>
      </c>
      <c r="J35" s="30" t="s">
        <v>85</v>
      </c>
      <c r="K35" s="30" t="s">
        <v>85</v>
      </c>
      <c r="L35" s="32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 t="s">
        <v>83</v>
      </c>
      <c r="R35" s="30" t="s">
        <v>83</v>
      </c>
      <c r="S35" s="32" t="s">
        <v>83</v>
      </c>
      <c r="T35" s="30" t="s">
        <v>85</v>
      </c>
      <c r="U35" s="30" t="s">
        <v>85</v>
      </c>
      <c r="V35" s="30" t="s">
        <v>85</v>
      </c>
      <c r="W35" s="30" t="s">
        <v>85</v>
      </c>
      <c r="X35" s="30" t="s">
        <v>85</v>
      </c>
      <c r="Y35" s="32" t="s">
        <v>85</v>
      </c>
      <c r="Z35" s="32" t="s">
        <v>85</v>
      </c>
      <c r="AA35" s="32" t="s">
        <v>85</v>
      </c>
      <c r="AB35" s="32" t="s">
        <v>85</v>
      </c>
      <c r="AC35" s="32" t="s">
        <v>85</v>
      </c>
      <c r="AD35" s="32" t="s">
        <v>85</v>
      </c>
      <c r="AE35" s="32" t="s">
        <v>85</v>
      </c>
      <c r="AF35" s="32" t="s">
        <v>85</v>
      </c>
      <c r="AG35" s="28">
        <v>44713</v>
      </c>
      <c r="AH35" s="29">
        <v>44742</v>
      </c>
      <c r="AI35" s="13">
        <f t="shared" si="2"/>
        <v>26</v>
      </c>
      <c r="AJ35" s="13">
        <f t="shared" si="4"/>
        <v>0</v>
      </c>
      <c r="AK35" s="13">
        <f t="shared" si="5"/>
        <v>4</v>
      </c>
      <c r="AL35" s="26">
        <f t="shared" si="6"/>
        <v>1</v>
      </c>
    </row>
    <row r="36" spans="1:38" x14ac:dyDescent="0.3">
      <c r="A36" s="3">
        <f t="shared" si="3"/>
        <v>33</v>
      </c>
      <c r="B36" s="3" t="s">
        <v>33</v>
      </c>
      <c r="C36" s="30" t="s">
        <v>85</v>
      </c>
      <c r="D36" s="30" t="s">
        <v>85</v>
      </c>
      <c r="E36" s="32" t="s">
        <v>85</v>
      </c>
      <c r="F36" s="30" t="s">
        <v>83</v>
      </c>
      <c r="G36" s="30" t="s">
        <v>83</v>
      </c>
      <c r="H36" s="30" t="s">
        <v>85</v>
      </c>
      <c r="I36" s="30" t="s">
        <v>85</v>
      </c>
      <c r="J36" s="30" t="s">
        <v>85</v>
      </c>
      <c r="K36" s="30" t="s">
        <v>85</v>
      </c>
      <c r="L36" s="32" t="s">
        <v>85</v>
      </c>
      <c r="M36" s="30" t="s">
        <v>85</v>
      </c>
      <c r="N36" s="30" t="s">
        <v>85</v>
      </c>
      <c r="O36" s="30" t="s">
        <v>85</v>
      </c>
      <c r="P36" s="30" t="s">
        <v>85</v>
      </c>
      <c r="Q36" s="30" t="s">
        <v>85</v>
      </c>
      <c r="R36" s="30" t="s">
        <v>85</v>
      </c>
      <c r="S36" s="32" t="s">
        <v>85</v>
      </c>
      <c r="T36" s="30" t="s">
        <v>85</v>
      </c>
      <c r="U36" s="30" t="s">
        <v>85</v>
      </c>
      <c r="V36" s="30" t="s">
        <v>85</v>
      </c>
      <c r="W36" s="30" t="s">
        <v>85</v>
      </c>
      <c r="X36" s="30" t="s">
        <v>85</v>
      </c>
      <c r="Y36" s="30" t="s">
        <v>85</v>
      </c>
      <c r="Z36" s="32" t="s">
        <v>85</v>
      </c>
      <c r="AA36" s="30" t="s">
        <v>85</v>
      </c>
      <c r="AB36" s="30" t="s">
        <v>85</v>
      </c>
      <c r="AC36" s="30" t="s">
        <v>85</v>
      </c>
      <c r="AD36" s="30" t="s">
        <v>83</v>
      </c>
      <c r="AE36" s="30" t="s">
        <v>83</v>
      </c>
      <c r="AF36" s="30" t="s">
        <v>83</v>
      </c>
      <c r="AG36" s="28">
        <v>44713</v>
      </c>
      <c r="AH36" s="29">
        <v>44742</v>
      </c>
      <c r="AI36" s="13">
        <f t="shared" si="2"/>
        <v>25</v>
      </c>
      <c r="AJ36" s="13">
        <f t="shared" si="4"/>
        <v>0</v>
      </c>
      <c r="AK36" s="13">
        <f t="shared" si="5"/>
        <v>5</v>
      </c>
      <c r="AL36" s="26">
        <f t="shared" si="6"/>
        <v>1</v>
      </c>
    </row>
    <row r="37" spans="1:38" x14ac:dyDescent="0.3">
      <c r="A37" s="3">
        <f t="shared" si="3"/>
        <v>34</v>
      </c>
      <c r="B37" s="3" t="s">
        <v>34</v>
      </c>
      <c r="C37" s="30" t="s">
        <v>83</v>
      </c>
      <c r="D37" s="30" t="s">
        <v>83</v>
      </c>
      <c r="E37" s="32" t="s">
        <v>83</v>
      </c>
      <c r="F37" s="30" t="s">
        <v>85</v>
      </c>
      <c r="G37" s="30" t="s">
        <v>85</v>
      </c>
      <c r="H37" s="30" t="s">
        <v>85</v>
      </c>
      <c r="I37" s="30" t="s">
        <v>85</v>
      </c>
      <c r="J37" s="30" t="s">
        <v>85</v>
      </c>
      <c r="K37" s="30" t="s">
        <v>85</v>
      </c>
      <c r="L37" s="32" t="s">
        <v>85</v>
      </c>
      <c r="M37" s="30" t="s">
        <v>85</v>
      </c>
      <c r="N37" s="30" t="s">
        <v>83</v>
      </c>
      <c r="O37" s="30" t="s">
        <v>83</v>
      </c>
      <c r="P37" s="30" t="s">
        <v>85</v>
      </c>
      <c r="Q37" s="30" t="s">
        <v>85</v>
      </c>
      <c r="R37" s="30" t="s">
        <v>85</v>
      </c>
      <c r="S37" s="32" t="s">
        <v>85</v>
      </c>
      <c r="T37" s="30" t="s">
        <v>85</v>
      </c>
      <c r="U37" s="30" t="s">
        <v>85</v>
      </c>
      <c r="V37" s="30" t="s">
        <v>85</v>
      </c>
      <c r="W37" s="30" t="s">
        <v>85</v>
      </c>
      <c r="X37" s="30" t="s">
        <v>85</v>
      </c>
      <c r="Y37" s="30" t="s">
        <v>85</v>
      </c>
      <c r="Z37" s="32" t="s">
        <v>85</v>
      </c>
      <c r="AA37" s="30" t="s">
        <v>85</v>
      </c>
      <c r="AB37" s="30" t="s">
        <v>85</v>
      </c>
      <c r="AC37" s="30" t="s">
        <v>85</v>
      </c>
      <c r="AD37" s="30" t="s">
        <v>85</v>
      </c>
      <c r="AE37" s="30" t="s">
        <v>85</v>
      </c>
      <c r="AF37" s="30" t="s">
        <v>85</v>
      </c>
      <c r="AG37" s="28">
        <v>44713</v>
      </c>
      <c r="AH37" s="29">
        <v>44742</v>
      </c>
      <c r="AI37" s="13">
        <f t="shared" si="2"/>
        <v>25</v>
      </c>
      <c r="AJ37" s="13">
        <f t="shared" si="4"/>
        <v>0</v>
      </c>
      <c r="AK37" s="13">
        <f t="shared" si="5"/>
        <v>5</v>
      </c>
      <c r="AL37" s="26">
        <f t="shared" si="6"/>
        <v>1</v>
      </c>
    </row>
    <row r="38" spans="1:38" x14ac:dyDescent="0.3">
      <c r="A38" s="3">
        <f t="shared" si="3"/>
        <v>35</v>
      </c>
      <c r="B38" s="3" t="s">
        <v>35</v>
      </c>
      <c r="C38" s="30"/>
      <c r="D38" s="30"/>
      <c r="E38" s="32"/>
      <c r="F38" s="30"/>
      <c r="G38" s="30"/>
      <c r="H38" s="30" t="s">
        <v>85</v>
      </c>
      <c r="I38" s="30" t="s">
        <v>85</v>
      </c>
      <c r="J38" s="30" t="s">
        <v>85</v>
      </c>
      <c r="K38" s="30"/>
      <c r="L38" s="32"/>
      <c r="M38" s="30"/>
      <c r="N38" s="30"/>
      <c r="O38" s="30"/>
      <c r="P38" s="30"/>
      <c r="Q38" s="30"/>
      <c r="R38" s="30"/>
      <c r="S38" s="32"/>
      <c r="T38" s="30" t="s">
        <v>85</v>
      </c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>
        <v>44713</v>
      </c>
      <c r="AH38" s="29">
        <v>44742</v>
      </c>
      <c r="AI38" s="13">
        <f t="shared" si="2"/>
        <v>4</v>
      </c>
      <c r="AJ38" s="13">
        <f t="shared" si="4"/>
        <v>0</v>
      </c>
      <c r="AK38" s="13">
        <f t="shared" si="5"/>
        <v>0</v>
      </c>
      <c r="AL38" s="26">
        <f t="shared" si="6"/>
        <v>1</v>
      </c>
    </row>
    <row r="39" spans="1:38" s="17" customFormat="1" x14ac:dyDescent="0.3">
      <c r="A39" s="3">
        <f t="shared" si="3"/>
        <v>36</v>
      </c>
      <c r="B39" s="16" t="s">
        <v>123</v>
      </c>
      <c r="C39" s="30" t="s">
        <v>84</v>
      </c>
      <c r="D39" s="30" t="s">
        <v>84</v>
      </c>
      <c r="E39" s="32" t="s">
        <v>84</v>
      </c>
      <c r="F39" s="30" t="s">
        <v>84</v>
      </c>
      <c r="G39" s="30" t="s">
        <v>84</v>
      </c>
      <c r="H39" s="30" t="s">
        <v>84</v>
      </c>
      <c r="I39" s="30" t="s">
        <v>84</v>
      </c>
      <c r="J39" s="30" t="s">
        <v>84</v>
      </c>
      <c r="K39" s="30" t="s">
        <v>84</v>
      </c>
      <c r="L39" s="32" t="s">
        <v>83</v>
      </c>
      <c r="M39" s="30" t="s">
        <v>83</v>
      </c>
      <c r="N39" s="30" t="s">
        <v>83</v>
      </c>
      <c r="O39" s="30" t="s">
        <v>83</v>
      </c>
      <c r="P39" s="30" t="s">
        <v>83</v>
      </c>
      <c r="Q39" s="30" t="s">
        <v>83</v>
      </c>
      <c r="R39" s="30" t="s">
        <v>83</v>
      </c>
      <c r="S39" s="32" t="s">
        <v>83</v>
      </c>
      <c r="T39" s="30" t="s">
        <v>85</v>
      </c>
      <c r="U39" s="30" t="s">
        <v>85</v>
      </c>
      <c r="V39" s="30" t="s">
        <v>85</v>
      </c>
      <c r="W39" s="30" t="s">
        <v>85</v>
      </c>
      <c r="X39" s="30" t="s">
        <v>85</v>
      </c>
      <c r="Y39" s="33" t="s">
        <v>85</v>
      </c>
      <c r="Z39" s="32" t="s">
        <v>85</v>
      </c>
      <c r="AA39" s="33" t="s">
        <v>85</v>
      </c>
      <c r="AB39" s="33" t="s">
        <v>85</v>
      </c>
      <c r="AC39" s="33" t="s">
        <v>85</v>
      </c>
      <c r="AD39" s="30" t="s">
        <v>85</v>
      </c>
      <c r="AE39" s="30" t="s">
        <v>85</v>
      </c>
      <c r="AF39" s="30" t="s">
        <v>85</v>
      </c>
      <c r="AG39" s="28">
        <v>44713</v>
      </c>
      <c r="AH39" s="29">
        <v>44742</v>
      </c>
      <c r="AI39" s="13">
        <f t="shared" si="2"/>
        <v>13</v>
      </c>
      <c r="AJ39" s="13">
        <f t="shared" si="4"/>
        <v>0</v>
      </c>
      <c r="AK39" s="13">
        <f t="shared" si="5"/>
        <v>8</v>
      </c>
      <c r="AL39" s="26">
        <f t="shared" si="6"/>
        <v>1</v>
      </c>
    </row>
    <row r="40" spans="1:38" x14ac:dyDescent="0.3">
      <c r="A40" s="3">
        <f t="shared" si="3"/>
        <v>37</v>
      </c>
      <c r="B40" s="3" t="s">
        <v>37</v>
      </c>
      <c r="C40" s="30" t="s">
        <v>85</v>
      </c>
      <c r="D40" s="30" t="s">
        <v>85</v>
      </c>
      <c r="E40" s="32" t="s">
        <v>85</v>
      </c>
      <c r="F40" s="30" t="s">
        <v>85</v>
      </c>
      <c r="G40" s="30" t="s">
        <v>85</v>
      </c>
      <c r="H40" s="30" t="s">
        <v>85</v>
      </c>
      <c r="I40" s="30" t="s">
        <v>85</v>
      </c>
      <c r="J40" s="30" t="s">
        <v>85</v>
      </c>
      <c r="K40" s="30" t="s">
        <v>85</v>
      </c>
      <c r="L40" s="32" t="s">
        <v>85</v>
      </c>
      <c r="M40" s="30" t="s">
        <v>85</v>
      </c>
      <c r="N40" s="30" t="s">
        <v>85</v>
      </c>
      <c r="O40" s="30" t="s">
        <v>85</v>
      </c>
      <c r="P40" s="30" t="s">
        <v>85</v>
      </c>
      <c r="Q40" s="30" t="s">
        <v>85</v>
      </c>
      <c r="R40" s="30" t="s">
        <v>85</v>
      </c>
      <c r="S40" s="32" t="s">
        <v>85</v>
      </c>
      <c r="T40" s="30" t="s">
        <v>85</v>
      </c>
      <c r="U40" s="30" t="s">
        <v>85</v>
      </c>
      <c r="V40" s="30" t="s">
        <v>85</v>
      </c>
      <c r="W40" s="30" t="s">
        <v>85</v>
      </c>
      <c r="X40" s="30" t="s">
        <v>85</v>
      </c>
      <c r="Y40" s="30" t="s">
        <v>85</v>
      </c>
      <c r="Z40" s="32" t="s">
        <v>85</v>
      </c>
      <c r="AA40" s="30" t="s">
        <v>85</v>
      </c>
      <c r="AB40" s="30" t="s">
        <v>85</v>
      </c>
      <c r="AC40" s="33" t="s">
        <v>85</v>
      </c>
      <c r="AD40" s="30" t="s">
        <v>85</v>
      </c>
      <c r="AE40" s="30" t="s">
        <v>85</v>
      </c>
      <c r="AF40" s="30" t="s">
        <v>85</v>
      </c>
      <c r="AG40" s="28">
        <v>44713</v>
      </c>
      <c r="AH40" s="29">
        <v>44742</v>
      </c>
      <c r="AI40" s="13">
        <f t="shared" si="2"/>
        <v>30</v>
      </c>
      <c r="AJ40" s="13">
        <f t="shared" si="4"/>
        <v>0</v>
      </c>
      <c r="AK40" s="13">
        <f t="shared" si="5"/>
        <v>0</v>
      </c>
      <c r="AL40" s="26">
        <f t="shared" si="6"/>
        <v>1</v>
      </c>
    </row>
    <row r="41" spans="1:38" x14ac:dyDescent="0.3">
      <c r="A41" s="3">
        <f t="shared" si="3"/>
        <v>38</v>
      </c>
      <c r="B41" s="3" t="s">
        <v>38</v>
      </c>
      <c r="C41" s="30" t="s">
        <v>85</v>
      </c>
      <c r="D41" s="30" t="s">
        <v>85</v>
      </c>
      <c r="E41" s="32" t="s">
        <v>85</v>
      </c>
      <c r="F41" s="30" t="s">
        <v>85</v>
      </c>
      <c r="G41" s="30" t="s">
        <v>85</v>
      </c>
      <c r="H41" s="30" t="s">
        <v>85</v>
      </c>
      <c r="I41" s="30" t="s">
        <v>85</v>
      </c>
      <c r="J41" s="30" t="s">
        <v>85</v>
      </c>
      <c r="K41" s="30" t="s">
        <v>85</v>
      </c>
      <c r="L41" s="32" t="s">
        <v>85</v>
      </c>
      <c r="M41" s="30" t="s">
        <v>85</v>
      </c>
      <c r="N41" s="30" t="s">
        <v>85</v>
      </c>
      <c r="O41" s="30" t="s">
        <v>85</v>
      </c>
      <c r="P41" s="30" t="s">
        <v>85</v>
      </c>
      <c r="Q41" s="30" t="s">
        <v>85</v>
      </c>
      <c r="R41" s="30" t="s">
        <v>85</v>
      </c>
      <c r="S41" s="32" t="s">
        <v>85</v>
      </c>
      <c r="T41" s="30" t="s">
        <v>85</v>
      </c>
      <c r="U41" s="30" t="s">
        <v>85</v>
      </c>
      <c r="V41" s="30" t="s">
        <v>85</v>
      </c>
      <c r="W41" s="30" t="s">
        <v>85</v>
      </c>
      <c r="X41" s="30" t="s">
        <v>85</v>
      </c>
      <c r="Y41" s="30" t="s">
        <v>85</v>
      </c>
      <c r="Z41" s="32" t="s">
        <v>85</v>
      </c>
      <c r="AA41" s="30" t="s">
        <v>85</v>
      </c>
      <c r="AB41" s="30" t="s">
        <v>85</v>
      </c>
      <c r="AC41" s="33" t="s">
        <v>85</v>
      </c>
      <c r="AD41" s="30" t="s">
        <v>85</v>
      </c>
      <c r="AE41" s="30" t="s">
        <v>85</v>
      </c>
      <c r="AF41" s="30" t="s">
        <v>85</v>
      </c>
      <c r="AG41" s="28">
        <v>44713</v>
      </c>
      <c r="AH41" s="29">
        <v>44742</v>
      </c>
      <c r="AI41" s="13">
        <f t="shared" si="2"/>
        <v>30</v>
      </c>
      <c r="AJ41" s="13">
        <f t="shared" si="4"/>
        <v>0</v>
      </c>
      <c r="AK41" s="13">
        <f t="shared" si="5"/>
        <v>0</v>
      </c>
      <c r="AL41" s="26">
        <f t="shared" si="6"/>
        <v>1</v>
      </c>
    </row>
    <row r="42" spans="1:38" x14ac:dyDescent="0.3">
      <c r="A42" s="3">
        <f t="shared" si="3"/>
        <v>39</v>
      </c>
      <c r="B42" s="3" t="s">
        <v>39</v>
      </c>
      <c r="C42" s="30" t="s">
        <v>85</v>
      </c>
      <c r="D42" s="30" t="s">
        <v>83</v>
      </c>
      <c r="E42" s="32" t="s">
        <v>83</v>
      </c>
      <c r="F42" s="30" t="s">
        <v>83</v>
      </c>
      <c r="G42" s="30" t="s">
        <v>83</v>
      </c>
      <c r="H42" s="30" t="s">
        <v>83</v>
      </c>
      <c r="I42" s="30" t="s">
        <v>83</v>
      </c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3"/>
      <c r="AD42" s="30" t="s">
        <v>85</v>
      </c>
      <c r="AE42" s="30"/>
      <c r="AF42" s="30"/>
      <c r="AG42" s="28">
        <v>44713</v>
      </c>
      <c r="AH42" s="29">
        <v>44742</v>
      </c>
      <c r="AI42" s="13">
        <f t="shared" si="2"/>
        <v>2</v>
      </c>
      <c r="AJ42" s="13">
        <f t="shared" si="4"/>
        <v>0</v>
      </c>
      <c r="AK42" s="13">
        <f t="shared" si="5"/>
        <v>6</v>
      </c>
      <c r="AL42" s="26">
        <f t="shared" si="6"/>
        <v>1</v>
      </c>
    </row>
    <row r="43" spans="1:38" x14ac:dyDescent="0.3">
      <c r="A43" s="3">
        <f t="shared" si="3"/>
        <v>40</v>
      </c>
      <c r="B43" s="3" t="s">
        <v>40</v>
      </c>
      <c r="C43" s="30" t="s">
        <v>84</v>
      </c>
      <c r="D43" s="30" t="s">
        <v>84</v>
      </c>
      <c r="E43" s="32" t="s">
        <v>84</v>
      </c>
      <c r="F43" s="30" t="s">
        <v>84</v>
      </c>
      <c r="G43" s="30" t="s">
        <v>84</v>
      </c>
      <c r="H43" s="30" t="s">
        <v>84</v>
      </c>
      <c r="I43" s="30" t="s">
        <v>84</v>
      </c>
      <c r="J43" s="30" t="s">
        <v>84</v>
      </c>
      <c r="K43" s="30" t="s">
        <v>84</v>
      </c>
      <c r="L43" s="32" t="s">
        <v>85</v>
      </c>
      <c r="M43" s="30" t="s">
        <v>85</v>
      </c>
      <c r="N43" s="30" t="s">
        <v>85</v>
      </c>
      <c r="O43" s="30" t="s">
        <v>85</v>
      </c>
      <c r="P43" s="30" t="s">
        <v>85</v>
      </c>
      <c r="Q43" s="30" t="s">
        <v>85</v>
      </c>
      <c r="R43" s="30" t="s">
        <v>85</v>
      </c>
      <c r="S43" s="32" t="s">
        <v>85</v>
      </c>
      <c r="T43" s="30" t="s">
        <v>85</v>
      </c>
      <c r="U43" s="30" t="s">
        <v>85</v>
      </c>
      <c r="V43" s="30" t="s">
        <v>85</v>
      </c>
      <c r="W43" s="30" t="s">
        <v>85</v>
      </c>
      <c r="X43" s="30" t="s">
        <v>85</v>
      </c>
      <c r="Y43" s="30" t="s">
        <v>85</v>
      </c>
      <c r="Z43" s="32" t="s">
        <v>85</v>
      </c>
      <c r="AA43" s="30" t="s">
        <v>85</v>
      </c>
      <c r="AB43" s="30" t="s">
        <v>85</v>
      </c>
      <c r="AC43" s="33" t="s">
        <v>85</v>
      </c>
      <c r="AD43" s="30" t="s">
        <v>85</v>
      </c>
      <c r="AE43" s="30" t="s">
        <v>85</v>
      </c>
      <c r="AF43" s="30" t="s">
        <v>85</v>
      </c>
      <c r="AG43" s="28">
        <v>44713</v>
      </c>
      <c r="AH43" s="29">
        <v>44742</v>
      </c>
      <c r="AI43" s="13">
        <f t="shared" si="2"/>
        <v>21</v>
      </c>
      <c r="AJ43" s="13">
        <f t="shared" si="4"/>
        <v>0</v>
      </c>
      <c r="AK43" s="13">
        <f t="shared" si="5"/>
        <v>0</v>
      </c>
      <c r="AL43" s="26">
        <f t="shared" si="6"/>
        <v>1</v>
      </c>
    </row>
    <row r="44" spans="1:38" x14ac:dyDescent="0.3">
      <c r="A44" s="3">
        <f t="shared" si="3"/>
        <v>41</v>
      </c>
      <c r="B44" s="3" t="s">
        <v>132</v>
      </c>
      <c r="C44" s="30" t="s">
        <v>85</v>
      </c>
      <c r="D44" s="30" t="s">
        <v>85</v>
      </c>
      <c r="E44" s="32" t="s">
        <v>83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85</v>
      </c>
      <c r="L44" s="32" t="s">
        <v>85</v>
      </c>
      <c r="M44" s="30" t="s">
        <v>85</v>
      </c>
      <c r="N44" s="30" t="s">
        <v>85</v>
      </c>
      <c r="O44" s="30" t="s">
        <v>85</v>
      </c>
      <c r="P44" s="30" t="s">
        <v>85</v>
      </c>
      <c r="Q44" s="30" t="s">
        <v>85</v>
      </c>
      <c r="R44" s="30" t="s">
        <v>85</v>
      </c>
      <c r="S44" s="32" t="s">
        <v>83</v>
      </c>
      <c r="T44" s="30" t="s">
        <v>85</v>
      </c>
      <c r="U44" s="30" t="s">
        <v>85</v>
      </c>
      <c r="V44" s="30" t="s">
        <v>85</v>
      </c>
      <c r="W44" s="30" t="s">
        <v>85</v>
      </c>
      <c r="X44" s="30" t="s">
        <v>85</v>
      </c>
      <c r="Y44" s="30" t="s">
        <v>85</v>
      </c>
      <c r="Z44" s="32" t="s">
        <v>83</v>
      </c>
      <c r="AA44" s="30" t="s">
        <v>83</v>
      </c>
      <c r="AB44" s="30" t="s">
        <v>85</v>
      </c>
      <c r="AC44" s="33" t="s">
        <v>85</v>
      </c>
      <c r="AD44" s="30" t="s">
        <v>85</v>
      </c>
      <c r="AE44" s="30" t="s">
        <v>85</v>
      </c>
      <c r="AF44" s="30" t="s">
        <v>85</v>
      </c>
      <c r="AG44" s="28">
        <v>44713</v>
      </c>
      <c r="AH44" s="29">
        <v>44742</v>
      </c>
      <c r="AI44" s="13">
        <f t="shared" si="2"/>
        <v>26</v>
      </c>
      <c r="AJ44" s="13">
        <f t="shared" si="4"/>
        <v>0</v>
      </c>
      <c r="AK44" s="13">
        <f t="shared" si="5"/>
        <v>4</v>
      </c>
      <c r="AL44" s="26">
        <f t="shared" si="6"/>
        <v>1</v>
      </c>
    </row>
    <row r="45" spans="1:38" x14ac:dyDescent="0.3">
      <c r="A45" s="3">
        <f t="shared" si="3"/>
        <v>42</v>
      </c>
      <c r="B45" s="3" t="s">
        <v>112</v>
      </c>
      <c r="C45" s="30" t="s">
        <v>83</v>
      </c>
      <c r="D45" s="30" t="s">
        <v>83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85</v>
      </c>
      <c r="K45" s="30" t="s">
        <v>85</v>
      </c>
      <c r="L45" s="32" t="s">
        <v>85</v>
      </c>
      <c r="M45" s="30" t="s">
        <v>85</v>
      </c>
      <c r="N45" s="30" t="s">
        <v>85</v>
      </c>
      <c r="O45" s="30" t="s">
        <v>85</v>
      </c>
      <c r="P45" s="30" t="s">
        <v>85</v>
      </c>
      <c r="Q45" s="30" t="s">
        <v>85</v>
      </c>
      <c r="R45" s="30" t="s">
        <v>85</v>
      </c>
      <c r="S45" s="32" t="s">
        <v>85</v>
      </c>
      <c r="T45" s="30" t="s">
        <v>85</v>
      </c>
      <c r="U45" s="30" t="s">
        <v>85</v>
      </c>
      <c r="V45" s="30" t="s">
        <v>85</v>
      </c>
      <c r="W45" s="30" t="s">
        <v>85</v>
      </c>
      <c r="X45" s="30" t="s">
        <v>85</v>
      </c>
      <c r="Y45" s="30" t="s">
        <v>85</v>
      </c>
      <c r="Z45" s="32" t="s">
        <v>83</v>
      </c>
      <c r="AA45" s="30" t="s">
        <v>83</v>
      </c>
      <c r="AB45" s="30" t="s">
        <v>83</v>
      </c>
      <c r="AC45" s="30" t="s">
        <v>83</v>
      </c>
      <c r="AD45" s="30" t="s">
        <v>83</v>
      </c>
      <c r="AE45" s="30" t="s">
        <v>83</v>
      </c>
      <c r="AF45" s="30" t="s">
        <v>85</v>
      </c>
      <c r="AG45" s="28">
        <v>44713</v>
      </c>
      <c r="AH45" s="29">
        <v>44742</v>
      </c>
      <c r="AI45" s="13">
        <f t="shared" si="2"/>
        <v>22</v>
      </c>
      <c r="AJ45" s="13">
        <f t="shared" si="4"/>
        <v>0</v>
      </c>
      <c r="AK45" s="13">
        <f t="shared" si="5"/>
        <v>8</v>
      </c>
      <c r="AL45" s="26">
        <f t="shared" si="6"/>
        <v>1</v>
      </c>
    </row>
    <row r="46" spans="1:38" x14ac:dyDescent="0.3">
      <c r="A46" s="3">
        <f t="shared" si="3"/>
        <v>43</v>
      </c>
      <c r="B46" s="3" t="s">
        <v>43</v>
      </c>
      <c r="C46" s="30" t="s">
        <v>85</v>
      </c>
      <c r="D46" s="30" t="s">
        <v>83</v>
      </c>
      <c r="E46" s="32" t="s">
        <v>83</v>
      </c>
      <c r="F46" s="30" t="s">
        <v>83</v>
      </c>
      <c r="G46" s="30" t="s">
        <v>83</v>
      </c>
      <c r="H46" s="30" t="s">
        <v>83</v>
      </c>
      <c r="I46" s="30" t="s">
        <v>83</v>
      </c>
      <c r="J46" s="30" t="s">
        <v>85</v>
      </c>
      <c r="K46" s="30" t="s">
        <v>85</v>
      </c>
      <c r="L46" s="32" t="s">
        <v>85</v>
      </c>
      <c r="M46" s="30" t="s">
        <v>85</v>
      </c>
      <c r="N46" s="30" t="s">
        <v>85</v>
      </c>
      <c r="O46" s="30" t="s">
        <v>85</v>
      </c>
      <c r="P46" s="30" t="s">
        <v>85</v>
      </c>
      <c r="Q46" s="30" t="s">
        <v>85</v>
      </c>
      <c r="R46" s="30" t="s">
        <v>85</v>
      </c>
      <c r="S46" s="32" t="s">
        <v>85</v>
      </c>
      <c r="T46" s="30" t="s">
        <v>85</v>
      </c>
      <c r="U46" s="30" t="s">
        <v>85</v>
      </c>
      <c r="V46" s="30" t="s">
        <v>85</v>
      </c>
      <c r="W46" s="30" t="s">
        <v>85</v>
      </c>
      <c r="X46" s="30" t="s">
        <v>83</v>
      </c>
      <c r="Y46" s="30" t="s">
        <v>83</v>
      </c>
      <c r="Z46" s="32" t="s">
        <v>83</v>
      </c>
      <c r="AA46" s="30" t="s">
        <v>83</v>
      </c>
      <c r="AB46" s="30" t="s">
        <v>85</v>
      </c>
      <c r="AC46" s="30" t="s">
        <v>85</v>
      </c>
      <c r="AD46" s="30" t="s">
        <v>85</v>
      </c>
      <c r="AE46" s="30" t="s">
        <v>85</v>
      </c>
      <c r="AF46" s="30" t="s">
        <v>85</v>
      </c>
      <c r="AG46" s="28">
        <v>44713</v>
      </c>
      <c r="AH46" s="29">
        <v>44742</v>
      </c>
      <c r="AI46" s="13">
        <f t="shared" si="2"/>
        <v>20</v>
      </c>
      <c r="AJ46" s="13">
        <f t="shared" si="4"/>
        <v>0</v>
      </c>
      <c r="AK46" s="13">
        <f t="shared" si="5"/>
        <v>10</v>
      </c>
      <c r="AL46" s="26">
        <f t="shared" si="6"/>
        <v>1</v>
      </c>
    </row>
    <row r="47" spans="1:38" x14ac:dyDescent="0.3">
      <c r="A47" s="3">
        <f t="shared" si="3"/>
        <v>44</v>
      </c>
      <c r="B47" s="3" t="s">
        <v>44</v>
      </c>
      <c r="C47" s="30" t="s">
        <v>83</v>
      </c>
      <c r="D47" s="30" t="s">
        <v>83</v>
      </c>
      <c r="E47" s="32" t="s">
        <v>83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85</v>
      </c>
      <c r="L47" s="32" t="s">
        <v>85</v>
      </c>
      <c r="M47" s="30" t="s">
        <v>85</v>
      </c>
      <c r="N47" s="30" t="s">
        <v>85</v>
      </c>
      <c r="O47" s="30" t="s">
        <v>85</v>
      </c>
      <c r="P47" s="30" t="s">
        <v>85</v>
      </c>
      <c r="Q47" s="30" t="s">
        <v>85</v>
      </c>
      <c r="R47" s="30" t="s">
        <v>85</v>
      </c>
      <c r="S47" s="32" t="s">
        <v>85</v>
      </c>
      <c r="T47" s="30" t="s">
        <v>85</v>
      </c>
      <c r="U47" s="30" t="s">
        <v>85</v>
      </c>
      <c r="V47" s="30" t="s">
        <v>85</v>
      </c>
      <c r="W47" s="30" t="s">
        <v>85</v>
      </c>
      <c r="X47" s="30" t="s">
        <v>85</v>
      </c>
      <c r="Y47" s="30" t="s">
        <v>85</v>
      </c>
      <c r="Z47" s="32" t="s">
        <v>85</v>
      </c>
      <c r="AA47" s="30" t="s">
        <v>85</v>
      </c>
      <c r="AB47" s="30" t="s">
        <v>85</v>
      </c>
      <c r="AC47" s="30" t="s">
        <v>85</v>
      </c>
      <c r="AD47" s="30" t="s">
        <v>85</v>
      </c>
      <c r="AE47" s="30" t="s">
        <v>83</v>
      </c>
      <c r="AF47" s="30" t="s">
        <v>83</v>
      </c>
      <c r="AG47" s="28">
        <v>44713</v>
      </c>
      <c r="AH47" s="29">
        <v>44742</v>
      </c>
      <c r="AI47" s="13">
        <f t="shared" si="2"/>
        <v>25</v>
      </c>
      <c r="AJ47" s="13">
        <f t="shared" si="4"/>
        <v>0</v>
      </c>
      <c r="AK47" s="13">
        <f t="shared" si="5"/>
        <v>5</v>
      </c>
      <c r="AL47" s="26">
        <f t="shared" si="6"/>
        <v>1</v>
      </c>
    </row>
    <row r="48" spans="1:38" x14ac:dyDescent="0.3">
      <c r="A48" s="3">
        <f t="shared" si="3"/>
        <v>45</v>
      </c>
      <c r="B48" s="3" t="s">
        <v>45</v>
      </c>
      <c r="C48" s="30" t="s">
        <v>83</v>
      </c>
      <c r="D48" s="30" t="s">
        <v>83</v>
      </c>
      <c r="E48" s="32" t="s">
        <v>83</v>
      </c>
      <c r="F48" s="30" t="s">
        <v>83</v>
      </c>
      <c r="G48" s="30" t="s">
        <v>83</v>
      </c>
      <c r="H48" s="30" t="s">
        <v>85</v>
      </c>
      <c r="I48" s="30" t="s">
        <v>85</v>
      </c>
      <c r="J48" s="30" t="s">
        <v>85</v>
      </c>
      <c r="K48" s="30" t="s">
        <v>85</v>
      </c>
      <c r="L48" s="32" t="s">
        <v>85</v>
      </c>
      <c r="M48" s="30" t="s">
        <v>85</v>
      </c>
      <c r="N48" s="30" t="s">
        <v>85</v>
      </c>
      <c r="O48" s="30" t="s">
        <v>85</v>
      </c>
      <c r="P48" s="30" t="s">
        <v>85</v>
      </c>
      <c r="Q48" s="30" t="s">
        <v>85</v>
      </c>
      <c r="R48" s="30" t="s">
        <v>85</v>
      </c>
      <c r="S48" s="32" t="s">
        <v>85</v>
      </c>
      <c r="T48" s="30" t="s">
        <v>85</v>
      </c>
      <c r="U48" s="30" t="s">
        <v>85</v>
      </c>
      <c r="V48" s="30" t="s">
        <v>85</v>
      </c>
      <c r="W48" s="30" t="s">
        <v>85</v>
      </c>
      <c r="X48" s="30" t="s">
        <v>85</v>
      </c>
      <c r="Y48" s="30" t="s">
        <v>85</v>
      </c>
      <c r="Z48" s="32" t="s">
        <v>85</v>
      </c>
      <c r="AA48" s="30" t="s">
        <v>85</v>
      </c>
      <c r="AB48" s="30" t="s">
        <v>85</v>
      </c>
      <c r="AC48" s="30" t="s">
        <v>85</v>
      </c>
      <c r="AD48" s="30" t="s">
        <v>85</v>
      </c>
      <c r="AE48" s="30" t="s">
        <v>85</v>
      </c>
      <c r="AF48" s="30" t="s">
        <v>85</v>
      </c>
      <c r="AG48" s="28">
        <v>44713</v>
      </c>
      <c r="AH48" s="29">
        <v>44742</v>
      </c>
      <c r="AI48" s="13">
        <f t="shared" si="2"/>
        <v>25</v>
      </c>
      <c r="AJ48" s="13">
        <f t="shared" si="4"/>
        <v>0</v>
      </c>
      <c r="AK48" s="13">
        <f t="shared" si="5"/>
        <v>5</v>
      </c>
      <c r="AL48" s="26">
        <f t="shared" si="6"/>
        <v>1</v>
      </c>
    </row>
    <row r="49" spans="1:38" x14ac:dyDescent="0.3">
      <c r="A49" s="3">
        <f t="shared" si="3"/>
        <v>46</v>
      </c>
      <c r="B49" s="3" t="s">
        <v>117</v>
      </c>
      <c r="C49" s="30" t="s">
        <v>83</v>
      </c>
      <c r="D49" s="30" t="s">
        <v>83</v>
      </c>
      <c r="E49" s="32" t="s">
        <v>83</v>
      </c>
      <c r="F49" s="30" t="s">
        <v>83</v>
      </c>
      <c r="G49" s="30" t="s">
        <v>85</v>
      </c>
      <c r="H49" s="30" t="s">
        <v>85</v>
      </c>
      <c r="I49" s="30" t="s">
        <v>85</v>
      </c>
      <c r="J49" s="30" t="s">
        <v>85</v>
      </c>
      <c r="K49" s="30" t="s">
        <v>85</v>
      </c>
      <c r="L49" s="32" t="s">
        <v>85</v>
      </c>
      <c r="M49" s="30" t="s">
        <v>85</v>
      </c>
      <c r="N49" s="30" t="s">
        <v>85</v>
      </c>
      <c r="O49" s="30" t="s">
        <v>85</v>
      </c>
      <c r="P49" s="30" t="s">
        <v>85</v>
      </c>
      <c r="Q49" s="30" t="s">
        <v>85</v>
      </c>
      <c r="R49" s="30" t="s">
        <v>85</v>
      </c>
      <c r="S49" s="32" t="s">
        <v>85</v>
      </c>
      <c r="T49" s="30" t="s">
        <v>85</v>
      </c>
      <c r="U49" s="30" t="s">
        <v>85</v>
      </c>
      <c r="V49" s="30" t="s">
        <v>85</v>
      </c>
      <c r="W49" s="30" t="s">
        <v>85</v>
      </c>
      <c r="X49" s="30" t="s">
        <v>85</v>
      </c>
      <c r="Y49" s="30" t="s">
        <v>85</v>
      </c>
      <c r="Z49" s="32" t="s">
        <v>85</v>
      </c>
      <c r="AA49" s="30" t="s">
        <v>85</v>
      </c>
      <c r="AB49" s="30" t="s">
        <v>85</v>
      </c>
      <c r="AC49" s="30" t="s">
        <v>85</v>
      </c>
      <c r="AD49" s="30" t="s">
        <v>85</v>
      </c>
      <c r="AE49" s="30" t="s">
        <v>83</v>
      </c>
      <c r="AF49" s="30" t="s">
        <v>83</v>
      </c>
      <c r="AG49" s="28">
        <v>44713</v>
      </c>
      <c r="AH49" s="29">
        <v>44742</v>
      </c>
      <c r="AI49" s="13">
        <f t="shared" si="2"/>
        <v>24</v>
      </c>
      <c r="AJ49" s="13">
        <f t="shared" si="4"/>
        <v>0</v>
      </c>
      <c r="AK49" s="13">
        <f t="shared" si="5"/>
        <v>6</v>
      </c>
      <c r="AL49" s="26">
        <f t="shared" si="6"/>
        <v>1</v>
      </c>
    </row>
    <row r="50" spans="1:38" x14ac:dyDescent="0.3">
      <c r="A50" s="3">
        <f t="shared" si="3"/>
        <v>47</v>
      </c>
      <c r="B50" s="3" t="s">
        <v>47</v>
      </c>
      <c r="C50" s="30" t="s">
        <v>83</v>
      </c>
      <c r="D50" s="30" t="s">
        <v>83</v>
      </c>
      <c r="E50" s="32" t="s">
        <v>83</v>
      </c>
      <c r="F50" s="30" t="s">
        <v>83</v>
      </c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 t="s">
        <v>85</v>
      </c>
      <c r="W50" s="30" t="s">
        <v>85</v>
      </c>
      <c r="X50" s="30" t="s">
        <v>85</v>
      </c>
      <c r="Y50" s="30" t="s">
        <v>85</v>
      </c>
      <c r="Z50" s="32" t="s">
        <v>85</v>
      </c>
      <c r="AA50" s="30" t="s">
        <v>85</v>
      </c>
      <c r="AB50" s="30" t="s">
        <v>85</v>
      </c>
      <c r="AC50" s="30" t="s">
        <v>85</v>
      </c>
      <c r="AD50" s="30" t="s">
        <v>85</v>
      </c>
      <c r="AE50" s="30" t="s">
        <v>85</v>
      </c>
      <c r="AF50" s="30" t="s">
        <v>85</v>
      </c>
      <c r="AG50" s="28">
        <v>44713</v>
      </c>
      <c r="AH50" s="29">
        <v>44742</v>
      </c>
      <c r="AI50" s="13">
        <f t="shared" si="2"/>
        <v>11</v>
      </c>
      <c r="AJ50" s="13">
        <f t="shared" si="4"/>
        <v>0</v>
      </c>
      <c r="AK50" s="13">
        <f t="shared" si="5"/>
        <v>4</v>
      </c>
      <c r="AL50" s="26">
        <f t="shared" si="6"/>
        <v>1</v>
      </c>
    </row>
    <row r="51" spans="1:38" x14ac:dyDescent="0.3">
      <c r="A51" s="3">
        <f t="shared" si="3"/>
        <v>48</v>
      </c>
      <c r="B51" s="3" t="s">
        <v>48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>
        <v>44713</v>
      </c>
      <c r="AH51" s="29">
        <v>44742</v>
      </c>
      <c r="AI51" s="13">
        <f t="shared" si="2"/>
        <v>0</v>
      </c>
      <c r="AJ51" s="13">
        <f t="shared" si="4"/>
        <v>0</v>
      </c>
      <c r="AK51" s="13">
        <f t="shared" si="5"/>
        <v>0</v>
      </c>
      <c r="AL51" s="26">
        <f t="shared" si="6"/>
        <v>1</v>
      </c>
    </row>
    <row r="52" spans="1:38" x14ac:dyDescent="0.3">
      <c r="A52" s="3">
        <f t="shared" si="3"/>
        <v>49</v>
      </c>
      <c r="B52" s="3" t="s">
        <v>49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>
        <v>44713</v>
      </c>
      <c r="AH52" s="29">
        <v>44742</v>
      </c>
      <c r="AI52" s="13">
        <f t="shared" si="2"/>
        <v>0</v>
      </c>
      <c r="AJ52" s="13">
        <f t="shared" si="4"/>
        <v>0</v>
      </c>
      <c r="AK52" s="13">
        <f t="shared" si="5"/>
        <v>0</v>
      </c>
      <c r="AL52" s="26">
        <f t="shared" si="6"/>
        <v>1</v>
      </c>
    </row>
    <row r="53" spans="1:38" x14ac:dyDescent="0.3">
      <c r="A53" s="3">
        <f t="shared" si="3"/>
        <v>50</v>
      </c>
      <c r="B53" s="3" t="s">
        <v>50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>
        <v>44713</v>
      </c>
      <c r="AH53" s="29">
        <v>44742</v>
      </c>
      <c r="AI53" s="13">
        <f t="shared" si="2"/>
        <v>0</v>
      </c>
      <c r="AJ53" s="13">
        <f t="shared" si="4"/>
        <v>0</v>
      </c>
      <c r="AK53" s="13">
        <f t="shared" si="5"/>
        <v>0</v>
      </c>
      <c r="AL53" s="26">
        <f t="shared" si="6"/>
        <v>1</v>
      </c>
    </row>
    <row r="54" spans="1:38" x14ac:dyDescent="0.3">
      <c r="A54" s="3">
        <f t="shared" si="3"/>
        <v>51</v>
      </c>
      <c r="B54" s="3" t="s">
        <v>51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>
        <v>44713</v>
      </c>
      <c r="AH54" s="29">
        <v>44742</v>
      </c>
      <c r="AI54" s="13">
        <f t="shared" si="2"/>
        <v>0</v>
      </c>
      <c r="AJ54" s="13">
        <f t="shared" si="4"/>
        <v>0</v>
      </c>
      <c r="AK54" s="13">
        <f t="shared" si="5"/>
        <v>0</v>
      </c>
      <c r="AL54" s="26">
        <f t="shared" si="6"/>
        <v>1</v>
      </c>
    </row>
    <row r="55" spans="1:38" x14ac:dyDescent="0.3">
      <c r="A55" s="3">
        <f t="shared" si="3"/>
        <v>52</v>
      </c>
      <c r="B55" s="3" t="s">
        <v>52</v>
      </c>
      <c r="C55" s="30" t="s">
        <v>85</v>
      </c>
      <c r="D55" s="30" t="s">
        <v>85</v>
      </c>
      <c r="E55" s="32" t="s">
        <v>83</v>
      </c>
      <c r="F55" s="30" t="s">
        <v>85</v>
      </c>
      <c r="G55" s="30" t="s">
        <v>85</v>
      </c>
      <c r="H55" s="30" t="s">
        <v>85</v>
      </c>
      <c r="I55" s="30" t="s">
        <v>85</v>
      </c>
      <c r="J55" s="30" t="s">
        <v>85</v>
      </c>
      <c r="K55" s="30" t="s">
        <v>85</v>
      </c>
      <c r="L55" s="32" t="s">
        <v>85</v>
      </c>
      <c r="M55" s="30" t="s">
        <v>85</v>
      </c>
      <c r="N55" s="30" t="s">
        <v>85</v>
      </c>
      <c r="O55" s="30" t="s">
        <v>85</v>
      </c>
      <c r="P55" s="30" t="s">
        <v>85</v>
      </c>
      <c r="Q55" s="30" t="s">
        <v>85</v>
      </c>
      <c r="R55" s="30" t="s">
        <v>85</v>
      </c>
      <c r="S55" s="32" t="s">
        <v>85</v>
      </c>
      <c r="T55" s="30" t="s">
        <v>85</v>
      </c>
      <c r="U55" s="30" t="s">
        <v>85</v>
      </c>
      <c r="V55" s="30" t="s">
        <v>83</v>
      </c>
      <c r="W55" s="30" t="s">
        <v>83</v>
      </c>
      <c r="X55" s="30" t="s">
        <v>83</v>
      </c>
      <c r="Y55" s="30" t="s">
        <v>83</v>
      </c>
      <c r="Z55" s="32" t="s">
        <v>83</v>
      </c>
      <c r="AA55" s="30" t="s">
        <v>83</v>
      </c>
      <c r="AB55" s="30" t="s">
        <v>85</v>
      </c>
      <c r="AC55" s="30" t="s">
        <v>85</v>
      </c>
      <c r="AD55" s="30" t="s">
        <v>85</v>
      </c>
      <c r="AE55" s="30" t="s">
        <v>85</v>
      </c>
      <c r="AF55" s="30" t="s">
        <v>85</v>
      </c>
      <c r="AG55" s="28">
        <v>44713</v>
      </c>
      <c r="AH55" s="29">
        <v>44742</v>
      </c>
      <c r="AI55" s="13">
        <f t="shared" si="2"/>
        <v>23</v>
      </c>
      <c r="AJ55" s="13">
        <f t="shared" si="4"/>
        <v>0</v>
      </c>
      <c r="AK55" s="13">
        <f t="shared" si="5"/>
        <v>7</v>
      </c>
      <c r="AL55" s="26">
        <f t="shared" si="6"/>
        <v>1</v>
      </c>
    </row>
    <row r="56" spans="1:38" x14ac:dyDescent="0.3">
      <c r="A56" s="3">
        <f t="shared" si="3"/>
        <v>53</v>
      </c>
      <c r="B56" s="3" t="s">
        <v>53</v>
      </c>
      <c r="C56" s="30" t="s">
        <v>83</v>
      </c>
      <c r="D56" s="30" t="s">
        <v>83</v>
      </c>
      <c r="E56" s="32" t="s">
        <v>83</v>
      </c>
      <c r="F56" s="30" t="s">
        <v>83</v>
      </c>
      <c r="G56" s="30" t="s">
        <v>83</v>
      </c>
      <c r="H56" s="30" t="s">
        <v>83</v>
      </c>
      <c r="I56" s="30" t="s">
        <v>83</v>
      </c>
      <c r="J56" s="30" t="s">
        <v>83</v>
      </c>
      <c r="K56" s="30" t="s">
        <v>83</v>
      </c>
      <c r="L56" s="32" t="s">
        <v>85</v>
      </c>
      <c r="M56" s="30" t="s">
        <v>85</v>
      </c>
      <c r="N56" s="30" t="s">
        <v>85</v>
      </c>
      <c r="O56" s="30" t="s">
        <v>85</v>
      </c>
      <c r="P56" s="30" t="s">
        <v>83</v>
      </c>
      <c r="Q56" s="30" t="s">
        <v>83</v>
      </c>
      <c r="R56" s="30" t="s">
        <v>83</v>
      </c>
      <c r="S56" s="32" t="s">
        <v>85</v>
      </c>
      <c r="T56" s="30" t="s">
        <v>85</v>
      </c>
      <c r="U56" s="30" t="s">
        <v>85</v>
      </c>
      <c r="V56" s="30" t="s">
        <v>83</v>
      </c>
      <c r="W56" s="30" t="s">
        <v>83</v>
      </c>
      <c r="X56" s="30" t="s">
        <v>83</v>
      </c>
      <c r="Y56" s="30" t="s">
        <v>83</v>
      </c>
      <c r="Z56" s="32" t="s">
        <v>85</v>
      </c>
      <c r="AA56" s="30" t="s">
        <v>85</v>
      </c>
      <c r="AB56" s="30" t="s">
        <v>85</v>
      </c>
      <c r="AC56" s="30" t="s">
        <v>85</v>
      </c>
      <c r="AD56" s="30" t="s">
        <v>85</v>
      </c>
      <c r="AE56" s="30" t="s">
        <v>83</v>
      </c>
      <c r="AF56" s="30" t="s">
        <v>83</v>
      </c>
      <c r="AG56" s="28">
        <v>44713</v>
      </c>
      <c r="AH56" s="29">
        <v>44742</v>
      </c>
      <c r="AI56" s="13">
        <f t="shared" si="2"/>
        <v>12</v>
      </c>
      <c r="AJ56" s="13">
        <f t="shared" si="4"/>
        <v>0</v>
      </c>
      <c r="AK56" s="13">
        <f t="shared" si="5"/>
        <v>18</v>
      </c>
      <c r="AL56" s="26">
        <f t="shared" si="6"/>
        <v>1</v>
      </c>
    </row>
    <row r="57" spans="1:38" x14ac:dyDescent="0.3">
      <c r="A57" s="3">
        <f t="shared" si="3"/>
        <v>54</v>
      </c>
      <c r="B57" s="3" t="s">
        <v>54</v>
      </c>
      <c r="C57" s="30" t="s">
        <v>85</v>
      </c>
      <c r="D57" s="30" t="s">
        <v>85</v>
      </c>
      <c r="E57" s="32" t="s">
        <v>83</v>
      </c>
      <c r="F57" s="30" t="s">
        <v>85</v>
      </c>
      <c r="G57" s="30" t="s">
        <v>85</v>
      </c>
      <c r="H57" s="30" t="s">
        <v>85</v>
      </c>
      <c r="I57" s="30" t="s">
        <v>85</v>
      </c>
      <c r="J57" s="30" t="s">
        <v>85</v>
      </c>
      <c r="K57" s="30" t="s">
        <v>85</v>
      </c>
      <c r="L57" s="32" t="s">
        <v>83</v>
      </c>
      <c r="M57" s="30" t="s">
        <v>85</v>
      </c>
      <c r="N57" s="30" t="s">
        <v>85</v>
      </c>
      <c r="O57" s="30" t="s">
        <v>85</v>
      </c>
      <c r="P57" s="30" t="s">
        <v>85</v>
      </c>
      <c r="Q57" s="30" t="s">
        <v>85</v>
      </c>
      <c r="R57" s="30" t="s">
        <v>85</v>
      </c>
      <c r="S57" s="32" t="s">
        <v>83</v>
      </c>
      <c r="T57" s="30" t="s">
        <v>85</v>
      </c>
      <c r="U57" s="30" t="s">
        <v>85</v>
      </c>
      <c r="V57" s="30" t="s">
        <v>85</v>
      </c>
      <c r="W57" s="30" t="s">
        <v>85</v>
      </c>
      <c r="X57" s="30" t="s">
        <v>85</v>
      </c>
      <c r="Y57" s="30" t="s">
        <v>85</v>
      </c>
      <c r="Z57" s="32" t="s">
        <v>85</v>
      </c>
      <c r="AA57" s="30" t="s">
        <v>85</v>
      </c>
      <c r="AB57" s="30" t="s">
        <v>85</v>
      </c>
      <c r="AC57" s="30" t="s">
        <v>85</v>
      </c>
      <c r="AD57" s="30" t="s">
        <v>85</v>
      </c>
      <c r="AE57" s="30" t="s">
        <v>85</v>
      </c>
      <c r="AF57" s="30" t="s">
        <v>85</v>
      </c>
      <c r="AG57" s="28">
        <v>44713</v>
      </c>
      <c r="AH57" s="29">
        <v>44742</v>
      </c>
      <c r="AI57" s="13">
        <f t="shared" si="2"/>
        <v>27</v>
      </c>
      <c r="AJ57" s="13">
        <f t="shared" si="4"/>
        <v>0</v>
      </c>
      <c r="AK57" s="13">
        <f t="shared" si="5"/>
        <v>3</v>
      </c>
      <c r="AL57" s="26">
        <f t="shared" si="6"/>
        <v>1</v>
      </c>
    </row>
    <row r="58" spans="1:38" x14ac:dyDescent="0.3">
      <c r="A58" s="3">
        <f t="shared" si="3"/>
        <v>55</v>
      </c>
      <c r="B58" s="3" t="s">
        <v>119</v>
      </c>
      <c r="C58" s="30" t="s">
        <v>85</v>
      </c>
      <c r="D58" s="30" t="s">
        <v>83</v>
      </c>
      <c r="E58" s="32" t="s">
        <v>83</v>
      </c>
      <c r="F58" s="30" t="s">
        <v>83</v>
      </c>
      <c r="G58" s="30" t="s">
        <v>83</v>
      </c>
      <c r="H58" s="30" t="s">
        <v>83</v>
      </c>
      <c r="I58" s="30" t="s">
        <v>83</v>
      </c>
      <c r="J58" s="30" t="s">
        <v>85</v>
      </c>
      <c r="K58" s="30" t="s">
        <v>85</v>
      </c>
      <c r="L58" s="32" t="s">
        <v>85</v>
      </c>
      <c r="M58" s="30" t="s">
        <v>85</v>
      </c>
      <c r="N58" s="30" t="s">
        <v>85</v>
      </c>
      <c r="O58" s="30" t="s">
        <v>85</v>
      </c>
      <c r="P58" s="30" t="s">
        <v>85</v>
      </c>
      <c r="Q58" s="30" t="s">
        <v>85</v>
      </c>
      <c r="R58" s="30" t="s">
        <v>85</v>
      </c>
      <c r="S58" s="32" t="s">
        <v>85</v>
      </c>
      <c r="T58" s="30" t="s">
        <v>85</v>
      </c>
      <c r="U58" s="30" t="s">
        <v>85</v>
      </c>
      <c r="V58" s="30" t="s">
        <v>85</v>
      </c>
      <c r="W58" s="30" t="s">
        <v>85</v>
      </c>
      <c r="X58" s="30" t="s">
        <v>85</v>
      </c>
      <c r="Y58" s="30" t="s">
        <v>85</v>
      </c>
      <c r="Z58" s="32" t="s">
        <v>85</v>
      </c>
      <c r="AA58" s="30" t="s">
        <v>85</v>
      </c>
      <c r="AB58" s="30" t="s">
        <v>85</v>
      </c>
      <c r="AC58" s="30" t="s">
        <v>85</v>
      </c>
      <c r="AD58" s="30" t="s">
        <v>85</v>
      </c>
      <c r="AE58" s="30" t="s">
        <v>85</v>
      </c>
      <c r="AF58" s="30" t="s">
        <v>85</v>
      </c>
      <c r="AG58" s="28">
        <v>44713</v>
      </c>
      <c r="AH58" s="29">
        <v>44742</v>
      </c>
      <c r="AI58" s="13">
        <f t="shared" si="2"/>
        <v>24</v>
      </c>
      <c r="AJ58" s="13">
        <f t="shared" si="4"/>
        <v>0</v>
      </c>
      <c r="AK58" s="13">
        <f t="shared" si="5"/>
        <v>6</v>
      </c>
      <c r="AL58" s="26">
        <f t="shared" si="6"/>
        <v>1</v>
      </c>
    </row>
    <row r="59" spans="1:38" x14ac:dyDescent="0.3">
      <c r="A59" s="3">
        <f t="shared" si="3"/>
        <v>56</v>
      </c>
      <c r="B59" s="3" t="s">
        <v>56</v>
      </c>
      <c r="C59" s="32" t="s">
        <v>83</v>
      </c>
      <c r="D59" s="32" t="s">
        <v>83</v>
      </c>
      <c r="E59" s="32" t="s">
        <v>83</v>
      </c>
      <c r="F59" s="32" t="s">
        <v>83</v>
      </c>
      <c r="G59" s="32" t="s">
        <v>83</v>
      </c>
      <c r="H59" s="32" t="s">
        <v>83</v>
      </c>
      <c r="I59" s="32" t="s">
        <v>83</v>
      </c>
      <c r="J59" s="32" t="s">
        <v>83</v>
      </c>
      <c r="K59" s="32" t="s">
        <v>83</v>
      </c>
      <c r="L59" s="32" t="s">
        <v>83</v>
      </c>
      <c r="M59" s="30" t="s">
        <v>83</v>
      </c>
      <c r="N59" s="30" t="s">
        <v>83</v>
      </c>
      <c r="O59" s="30" t="s">
        <v>83</v>
      </c>
      <c r="P59" s="30" t="s">
        <v>83</v>
      </c>
      <c r="Q59" s="30" t="s">
        <v>83</v>
      </c>
      <c r="R59" s="30" t="s">
        <v>83</v>
      </c>
      <c r="S59" s="32" t="s">
        <v>83</v>
      </c>
      <c r="T59" s="30" t="s">
        <v>83</v>
      </c>
      <c r="U59" s="30" t="s">
        <v>83</v>
      </c>
      <c r="V59" s="30" t="s">
        <v>83</v>
      </c>
      <c r="W59" s="30" t="s">
        <v>83</v>
      </c>
      <c r="X59" s="30" t="s">
        <v>83</v>
      </c>
      <c r="Y59" s="30" t="s">
        <v>83</v>
      </c>
      <c r="Z59" s="32" t="s">
        <v>83</v>
      </c>
      <c r="AA59" s="30" t="s">
        <v>83</v>
      </c>
      <c r="AB59" s="30" t="s">
        <v>83</v>
      </c>
      <c r="AC59" s="30" t="s">
        <v>83</v>
      </c>
      <c r="AD59" s="30" t="s">
        <v>83</v>
      </c>
      <c r="AE59" s="30" t="s">
        <v>83</v>
      </c>
      <c r="AF59" s="30" t="s">
        <v>83</v>
      </c>
      <c r="AG59" s="28">
        <v>44713</v>
      </c>
      <c r="AH59" s="29">
        <v>44742</v>
      </c>
      <c r="AI59" s="13">
        <f t="shared" si="2"/>
        <v>0</v>
      </c>
      <c r="AJ59" s="13">
        <f t="shared" si="4"/>
        <v>0</v>
      </c>
      <c r="AK59" s="13">
        <f t="shared" si="5"/>
        <v>30</v>
      </c>
      <c r="AL59" s="26">
        <f t="shared" si="6"/>
        <v>1</v>
      </c>
    </row>
    <row r="60" spans="1:38" x14ac:dyDescent="0.3">
      <c r="A60" s="3">
        <f t="shared" si="3"/>
        <v>57</v>
      </c>
      <c r="B60" s="3" t="s">
        <v>57</v>
      </c>
      <c r="C60" s="32" t="s">
        <v>83</v>
      </c>
      <c r="D60" s="32" t="s">
        <v>83</v>
      </c>
      <c r="E60" s="32" t="s">
        <v>83</v>
      </c>
      <c r="F60" s="32" t="s">
        <v>83</v>
      </c>
      <c r="G60" s="32" t="s">
        <v>83</v>
      </c>
      <c r="H60" s="32" t="s">
        <v>83</v>
      </c>
      <c r="I60" s="32" t="s">
        <v>83</v>
      </c>
      <c r="J60" s="32" t="s">
        <v>83</v>
      </c>
      <c r="K60" s="32" t="s">
        <v>83</v>
      </c>
      <c r="L60" s="32" t="s">
        <v>83</v>
      </c>
      <c r="M60" s="30" t="s">
        <v>83</v>
      </c>
      <c r="N60" s="30" t="s">
        <v>83</v>
      </c>
      <c r="O60" s="30" t="s">
        <v>83</v>
      </c>
      <c r="P60" s="30" t="s">
        <v>83</v>
      </c>
      <c r="Q60" s="30" t="s">
        <v>83</v>
      </c>
      <c r="R60" s="30" t="s">
        <v>83</v>
      </c>
      <c r="S60" s="32" t="s">
        <v>83</v>
      </c>
      <c r="T60" s="30" t="s">
        <v>83</v>
      </c>
      <c r="U60" s="30" t="s">
        <v>83</v>
      </c>
      <c r="V60" s="30" t="s">
        <v>83</v>
      </c>
      <c r="W60" s="30" t="s">
        <v>83</v>
      </c>
      <c r="X60" s="30" t="s">
        <v>83</v>
      </c>
      <c r="Y60" s="30" t="s">
        <v>83</v>
      </c>
      <c r="Z60" s="32" t="s">
        <v>83</v>
      </c>
      <c r="AA60" s="30" t="s">
        <v>83</v>
      </c>
      <c r="AB60" s="30" t="s">
        <v>83</v>
      </c>
      <c r="AC60" s="30" t="s">
        <v>83</v>
      </c>
      <c r="AD60" s="30" t="s">
        <v>83</v>
      </c>
      <c r="AE60" s="30" t="s">
        <v>83</v>
      </c>
      <c r="AF60" s="30" t="s">
        <v>83</v>
      </c>
      <c r="AG60" s="28">
        <v>44713</v>
      </c>
      <c r="AH60" s="29">
        <v>44742</v>
      </c>
      <c r="AI60" s="13">
        <f t="shared" si="2"/>
        <v>0</v>
      </c>
      <c r="AJ60" s="13">
        <f t="shared" si="4"/>
        <v>0</v>
      </c>
      <c r="AK60" s="13">
        <f t="shared" si="5"/>
        <v>30</v>
      </c>
      <c r="AL60" s="26">
        <f t="shared" si="6"/>
        <v>1</v>
      </c>
    </row>
    <row r="61" spans="1:38" x14ac:dyDescent="0.3">
      <c r="A61" s="3">
        <f t="shared" si="3"/>
        <v>58</v>
      </c>
      <c r="B61" s="3" t="s">
        <v>58</v>
      </c>
      <c r="C61" s="30" t="s">
        <v>84</v>
      </c>
      <c r="D61" s="30" t="s">
        <v>84</v>
      </c>
      <c r="E61" s="32" t="s">
        <v>84</v>
      </c>
      <c r="F61" s="30" t="s">
        <v>84</v>
      </c>
      <c r="G61" s="30" t="s">
        <v>83</v>
      </c>
      <c r="H61" s="30" t="s">
        <v>83</v>
      </c>
      <c r="I61" s="30" t="s">
        <v>83</v>
      </c>
      <c r="J61" s="30" t="s">
        <v>83</v>
      </c>
      <c r="K61" s="30" t="s">
        <v>83</v>
      </c>
      <c r="L61" s="32" t="s">
        <v>83</v>
      </c>
      <c r="M61" s="30" t="s">
        <v>85</v>
      </c>
      <c r="N61" s="30" t="s">
        <v>85</v>
      </c>
      <c r="O61" s="30" t="s">
        <v>85</v>
      </c>
      <c r="P61" s="30" t="s">
        <v>85</v>
      </c>
      <c r="Q61" s="30" t="s">
        <v>85</v>
      </c>
      <c r="R61" s="30" t="s">
        <v>85</v>
      </c>
      <c r="S61" s="32" t="s">
        <v>85</v>
      </c>
      <c r="T61" s="30" t="s">
        <v>85</v>
      </c>
      <c r="U61" s="30" t="s">
        <v>85</v>
      </c>
      <c r="V61" s="30" t="s">
        <v>85</v>
      </c>
      <c r="W61" s="30" t="s">
        <v>85</v>
      </c>
      <c r="X61" s="30" t="s">
        <v>85</v>
      </c>
      <c r="Y61" s="30" t="s">
        <v>85</v>
      </c>
      <c r="Z61" s="32" t="s">
        <v>85</v>
      </c>
      <c r="AA61" s="30" t="s">
        <v>85</v>
      </c>
      <c r="AB61" s="30" t="s">
        <v>85</v>
      </c>
      <c r="AC61" s="30" t="s">
        <v>85</v>
      </c>
      <c r="AD61" s="30" t="s">
        <v>85</v>
      </c>
      <c r="AE61" s="30" t="s">
        <v>85</v>
      </c>
      <c r="AF61" s="30" t="s">
        <v>85</v>
      </c>
      <c r="AG61" s="28">
        <v>44713</v>
      </c>
      <c r="AH61" s="29">
        <v>44742</v>
      </c>
      <c r="AI61" s="13">
        <f t="shared" si="2"/>
        <v>20</v>
      </c>
      <c r="AJ61" s="13">
        <f t="shared" si="4"/>
        <v>0</v>
      </c>
      <c r="AK61" s="13">
        <f t="shared" si="5"/>
        <v>6</v>
      </c>
      <c r="AL61" s="26">
        <f t="shared" si="6"/>
        <v>1</v>
      </c>
    </row>
    <row r="62" spans="1:38" x14ac:dyDescent="0.3">
      <c r="A62" s="3">
        <f t="shared" si="3"/>
        <v>59</v>
      </c>
      <c r="B62" s="3" t="s">
        <v>59</v>
      </c>
      <c r="C62" s="30" t="s">
        <v>85</v>
      </c>
      <c r="D62" s="30" t="s">
        <v>85</v>
      </c>
      <c r="E62" s="32" t="s">
        <v>83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85</v>
      </c>
      <c r="K62" s="30" t="s">
        <v>85</v>
      </c>
      <c r="L62" s="32" t="s">
        <v>83</v>
      </c>
      <c r="M62" s="30" t="s">
        <v>85</v>
      </c>
      <c r="N62" s="30" t="s">
        <v>85</v>
      </c>
      <c r="O62" s="30" t="s">
        <v>85</v>
      </c>
      <c r="P62" s="30" t="s">
        <v>85</v>
      </c>
      <c r="Q62" s="30" t="s">
        <v>85</v>
      </c>
      <c r="R62" s="30" t="s">
        <v>85</v>
      </c>
      <c r="S62" s="32" t="s">
        <v>83</v>
      </c>
      <c r="T62" s="30" t="s">
        <v>85</v>
      </c>
      <c r="U62" s="30" t="s">
        <v>85</v>
      </c>
      <c r="V62" s="30" t="s">
        <v>85</v>
      </c>
      <c r="W62" s="30" t="s">
        <v>85</v>
      </c>
      <c r="X62" s="30" t="s">
        <v>85</v>
      </c>
      <c r="Y62" s="30" t="s">
        <v>85</v>
      </c>
      <c r="Z62" s="32" t="s">
        <v>83</v>
      </c>
      <c r="AA62" s="30" t="s">
        <v>85</v>
      </c>
      <c r="AB62" s="30" t="s">
        <v>85</v>
      </c>
      <c r="AC62" s="30" t="s">
        <v>85</v>
      </c>
      <c r="AD62" s="30" t="s">
        <v>85</v>
      </c>
      <c r="AE62" s="30" t="s">
        <v>85</v>
      </c>
      <c r="AF62" s="30" t="s">
        <v>85</v>
      </c>
      <c r="AG62" s="28">
        <v>44713</v>
      </c>
      <c r="AH62" s="29">
        <v>44742</v>
      </c>
      <c r="AI62" s="13">
        <f t="shared" si="2"/>
        <v>26</v>
      </c>
      <c r="AJ62" s="13">
        <f t="shared" si="4"/>
        <v>0</v>
      </c>
      <c r="AK62" s="13">
        <f t="shared" si="5"/>
        <v>4</v>
      </c>
      <c r="AL62" s="26">
        <f t="shared" si="6"/>
        <v>1</v>
      </c>
    </row>
    <row r="63" spans="1:38" x14ac:dyDescent="0.3">
      <c r="A63" s="3">
        <f t="shared" si="3"/>
        <v>60</v>
      </c>
      <c r="B63" s="3" t="s">
        <v>60</v>
      </c>
      <c r="C63" s="30" t="s">
        <v>85</v>
      </c>
      <c r="D63" s="30" t="s">
        <v>85</v>
      </c>
      <c r="E63" s="32" t="s">
        <v>83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85</v>
      </c>
      <c r="L63" s="32" t="s">
        <v>85</v>
      </c>
      <c r="M63" s="30" t="s">
        <v>85</v>
      </c>
      <c r="N63" s="30" t="s">
        <v>85</v>
      </c>
      <c r="O63" s="30" t="s">
        <v>85</v>
      </c>
      <c r="P63" s="30" t="s">
        <v>85</v>
      </c>
      <c r="Q63" s="30" t="s">
        <v>85</v>
      </c>
      <c r="R63" s="30" t="s">
        <v>85</v>
      </c>
      <c r="S63" s="32" t="s">
        <v>85</v>
      </c>
      <c r="T63" s="30" t="s">
        <v>85</v>
      </c>
      <c r="U63" s="30" t="s">
        <v>85</v>
      </c>
      <c r="V63" s="30" t="s">
        <v>85</v>
      </c>
      <c r="W63" s="30" t="s">
        <v>85</v>
      </c>
      <c r="X63" s="30" t="s">
        <v>85</v>
      </c>
      <c r="Y63" s="30" t="s">
        <v>85</v>
      </c>
      <c r="Z63" s="32" t="s">
        <v>85</v>
      </c>
      <c r="AA63" s="30" t="s">
        <v>85</v>
      </c>
      <c r="AB63" s="30" t="s">
        <v>85</v>
      </c>
      <c r="AC63" s="30" t="s">
        <v>85</v>
      </c>
      <c r="AD63" s="30" t="s">
        <v>85</v>
      </c>
      <c r="AE63" s="30" t="s">
        <v>85</v>
      </c>
      <c r="AF63" s="30" t="s">
        <v>83</v>
      </c>
      <c r="AG63" s="28">
        <v>44713</v>
      </c>
      <c r="AH63" s="29">
        <v>44742</v>
      </c>
      <c r="AI63" s="13">
        <f t="shared" si="2"/>
        <v>23</v>
      </c>
      <c r="AJ63" s="13">
        <f t="shared" si="4"/>
        <v>0</v>
      </c>
      <c r="AK63" s="13">
        <f t="shared" si="5"/>
        <v>7</v>
      </c>
      <c r="AL63" s="26">
        <f t="shared" si="6"/>
        <v>1</v>
      </c>
    </row>
    <row r="64" spans="1:38" x14ac:dyDescent="0.3">
      <c r="A64" s="3">
        <f t="shared" si="3"/>
        <v>61</v>
      </c>
      <c r="B64" s="3" t="s">
        <v>61</v>
      </c>
      <c r="C64" s="30" t="s">
        <v>85</v>
      </c>
      <c r="D64" s="30" t="s">
        <v>85</v>
      </c>
      <c r="E64" s="32" t="s">
        <v>85</v>
      </c>
      <c r="F64" s="30" t="s">
        <v>85</v>
      </c>
      <c r="G64" s="30" t="s">
        <v>85</v>
      </c>
      <c r="H64" s="30" t="s">
        <v>85</v>
      </c>
      <c r="I64" s="30" t="s">
        <v>85</v>
      </c>
      <c r="J64" s="30" t="s">
        <v>85</v>
      </c>
      <c r="K64" s="30" t="s">
        <v>85</v>
      </c>
      <c r="L64" s="32" t="s">
        <v>85</v>
      </c>
      <c r="M64" s="30" t="s">
        <v>85</v>
      </c>
      <c r="N64" s="30" t="s">
        <v>85</v>
      </c>
      <c r="O64" s="30" t="s">
        <v>85</v>
      </c>
      <c r="P64" s="30" t="s">
        <v>85</v>
      </c>
      <c r="Q64" s="30" t="s">
        <v>85</v>
      </c>
      <c r="R64" s="30" t="s">
        <v>85</v>
      </c>
      <c r="S64" s="32" t="s">
        <v>83</v>
      </c>
      <c r="T64" s="30" t="s">
        <v>83</v>
      </c>
      <c r="U64" s="30" t="s">
        <v>83</v>
      </c>
      <c r="V64" s="30" t="s">
        <v>83</v>
      </c>
      <c r="W64" s="30" t="s">
        <v>83</v>
      </c>
      <c r="X64" s="30" t="s">
        <v>83</v>
      </c>
      <c r="Y64" s="30" t="s">
        <v>83</v>
      </c>
      <c r="Z64" s="32" t="s">
        <v>83</v>
      </c>
      <c r="AA64" s="30" t="s">
        <v>83</v>
      </c>
      <c r="AB64" s="30" t="s">
        <v>83</v>
      </c>
      <c r="AC64" s="30" t="s">
        <v>83</v>
      </c>
      <c r="AD64" s="30" t="s">
        <v>83</v>
      </c>
      <c r="AE64" s="30" t="s">
        <v>83</v>
      </c>
      <c r="AF64" s="30" t="s">
        <v>83</v>
      </c>
      <c r="AG64" s="28">
        <v>44713</v>
      </c>
      <c r="AH64" s="29">
        <v>44742</v>
      </c>
      <c r="AI64" s="13">
        <f t="shared" si="2"/>
        <v>16</v>
      </c>
      <c r="AJ64" s="13">
        <f t="shared" si="4"/>
        <v>0</v>
      </c>
      <c r="AK64" s="13">
        <f t="shared" si="5"/>
        <v>14</v>
      </c>
      <c r="AL64" s="26">
        <f t="shared" si="6"/>
        <v>1</v>
      </c>
    </row>
    <row r="65" spans="1:38" x14ac:dyDescent="0.3">
      <c r="A65" s="3">
        <f t="shared" si="3"/>
        <v>62</v>
      </c>
      <c r="B65" s="3" t="s">
        <v>62</v>
      </c>
      <c r="C65" s="30" t="s">
        <v>85</v>
      </c>
      <c r="D65" s="30" t="s">
        <v>85</v>
      </c>
      <c r="E65" s="32" t="s">
        <v>83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85</v>
      </c>
      <c r="K65" s="30" t="s">
        <v>85</v>
      </c>
      <c r="L65" s="32" t="s">
        <v>83</v>
      </c>
      <c r="M65" s="30" t="s">
        <v>83</v>
      </c>
      <c r="N65" s="30" t="s">
        <v>85</v>
      </c>
      <c r="O65" s="30" t="s">
        <v>85</v>
      </c>
      <c r="P65" s="30" t="s">
        <v>85</v>
      </c>
      <c r="Q65" s="30" t="s">
        <v>85</v>
      </c>
      <c r="R65" s="30" t="s">
        <v>85</v>
      </c>
      <c r="S65" s="32" t="s">
        <v>85</v>
      </c>
      <c r="T65" s="30" t="s">
        <v>85</v>
      </c>
      <c r="U65" s="30" t="s">
        <v>85</v>
      </c>
      <c r="V65" s="30" t="s">
        <v>85</v>
      </c>
      <c r="W65" s="30" t="s">
        <v>85</v>
      </c>
      <c r="X65" s="30" t="s">
        <v>85</v>
      </c>
      <c r="Y65" s="30" t="s">
        <v>85</v>
      </c>
      <c r="Z65" s="32" t="s">
        <v>83</v>
      </c>
      <c r="AA65" s="30" t="s">
        <v>85</v>
      </c>
      <c r="AB65" s="30" t="s">
        <v>83</v>
      </c>
      <c r="AC65" s="30" t="s">
        <v>85</v>
      </c>
      <c r="AD65" s="30" t="s">
        <v>85</v>
      </c>
      <c r="AE65" s="30" t="s">
        <v>85</v>
      </c>
      <c r="AF65" s="30" t="s">
        <v>85</v>
      </c>
      <c r="AG65" s="28">
        <v>44713</v>
      </c>
      <c r="AH65" s="29">
        <v>44742</v>
      </c>
      <c r="AI65" s="13">
        <f t="shared" si="2"/>
        <v>25</v>
      </c>
      <c r="AJ65" s="13">
        <f t="shared" si="4"/>
        <v>0</v>
      </c>
      <c r="AK65" s="13">
        <f t="shared" si="5"/>
        <v>5</v>
      </c>
      <c r="AL65" s="26">
        <f t="shared" si="6"/>
        <v>1</v>
      </c>
    </row>
    <row r="66" spans="1:38" x14ac:dyDescent="0.3">
      <c r="A66" s="3">
        <f t="shared" si="3"/>
        <v>63</v>
      </c>
      <c r="B66" s="3" t="s">
        <v>63</v>
      </c>
      <c r="C66" s="30" t="s">
        <v>83</v>
      </c>
      <c r="D66" s="30" t="s">
        <v>83</v>
      </c>
      <c r="E66" s="32" t="s">
        <v>83</v>
      </c>
      <c r="F66" s="30" t="s">
        <v>83</v>
      </c>
      <c r="G66" s="30" t="s">
        <v>85</v>
      </c>
      <c r="H66" s="30" t="s">
        <v>85</v>
      </c>
      <c r="I66" s="30" t="s">
        <v>85</v>
      </c>
      <c r="J66" s="30" t="s">
        <v>85</v>
      </c>
      <c r="K66" s="30" t="s">
        <v>85</v>
      </c>
      <c r="L66" s="32" t="s">
        <v>85</v>
      </c>
      <c r="M66" s="30" t="s">
        <v>85</v>
      </c>
      <c r="N66" s="30" t="s">
        <v>85</v>
      </c>
      <c r="O66" s="30" t="s">
        <v>85</v>
      </c>
      <c r="P66" s="30" t="s">
        <v>85</v>
      </c>
      <c r="Q66" s="30" t="s">
        <v>85</v>
      </c>
      <c r="R66" s="30" t="s">
        <v>85</v>
      </c>
      <c r="S66" s="32" t="s">
        <v>85</v>
      </c>
      <c r="T66" s="30" t="s">
        <v>85</v>
      </c>
      <c r="U66" s="30" t="s">
        <v>85</v>
      </c>
      <c r="V66" s="30" t="s">
        <v>85</v>
      </c>
      <c r="W66" s="30" t="s">
        <v>85</v>
      </c>
      <c r="X66" s="30" t="s">
        <v>85</v>
      </c>
      <c r="Y66" s="30" t="s">
        <v>85</v>
      </c>
      <c r="Z66" s="32" t="s">
        <v>85</v>
      </c>
      <c r="AA66" s="30" t="s">
        <v>85</v>
      </c>
      <c r="AB66" s="30" t="s">
        <v>85</v>
      </c>
      <c r="AC66" s="30" t="s">
        <v>85</v>
      </c>
      <c r="AD66" s="30" t="s">
        <v>85</v>
      </c>
      <c r="AE66" s="30" t="s">
        <v>85</v>
      </c>
      <c r="AF66" s="30" t="s">
        <v>85</v>
      </c>
      <c r="AG66" s="28">
        <v>44713</v>
      </c>
      <c r="AH66" s="29">
        <v>44742</v>
      </c>
      <c r="AI66" s="13">
        <f t="shared" si="2"/>
        <v>26</v>
      </c>
      <c r="AJ66" s="13">
        <f t="shared" si="4"/>
        <v>0</v>
      </c>
      <c r="AK66" s="13">
        <f t="shared" si="5"/>
        <v>4</v>
      </c>
      <c r="AL66" s="26">
        <f t="shared" si="6"/>
        <v>1</v>
      </c>
    </row>
    <row r="67" spans="1:38" x14ac:dyDescent="0.3">
      <c r="A67" s="3">
        <f t="shared" si="3"/>
        <v>64</v>
      </c>
      <c r="B67" s="3" t="s">
        <v>64</v>
      </c>
      <c r="C67" s="30" t="s">
        <v>85</v>
      </c>
      <c r="D67" s="30" t="s">
        <v>85</v>
      </c>
      <c r="E67" s="32" t="s">
        <v>83</v>
      </c>
      <c r="F67" s="30" t="s">
        <v>85</v>
      </c>
      <c r="G67" s="30" t="s">
        <v>85</v>
      </c>
      <c r="H67" s="30" t="s">
        <v>85</v>
      </c>
      <c r="I67" s="30" t="s">
        <v>85</v>
      </c>
      <c r="J67" s="30" t="s">
        <v>85</v>
      </c>
      <c r="K67" s="30" t="s">
        <v>85</v>
      </c>
      <c r="L67" s="32" t="s">
        <v>85</v>
      </c>
      <c r="M67" s="30" t="s">
        <v>85</v>
      </c>
      <c r="N67" s="30" t="s">
        <v>85</v>
      </c>
      <c r="O67" s="30" t="s">
        <v>85</v>
      </c>
      <c r="P67" s="30" t="s">
        <v>85</v>
      </c>
      <c r="Q67" s="30" t="s">
        <v>85</v>
      </c>
      <c r="R67" s="30" t="s">
        <v>85</v>
      </c>
      <c r="S67" s="32" t="s">
        <v>85</v>
      </c>
      <c r="T67" s="30" t="s">
        <v>85</v>
      </c>
      <c r="U67" s="30" t="s">
        <v>85</v>
      </c>
      <c r="V67" s="30" t="s">
        <v>85</v>
      </c>
      <c r="W67" s="30" t="s">
        <v>85</v>
      </c>
      <c r="X67" s="30" t="s">
        <v>85</v>
      </c>
      <c r="Y67" s="30" t="s">
        <v>85</v>
      </c>
      <c r="Z67" s="32" t="s">
        <v>83</v>
      </c>
      <c r="AA67" s="30" t="s">
        <v>85</v>
      </c>
      <c r="AB67" s="30" t="s">
        <v>85</v>
      </c>
      <c r="AC67" s="30" t="s">
        <v>85</v>
      </c>
      <c r="AD67" s="30" t="s">
        <v>85</v>
      </c>
      <c r="AE67" s="30" t="s">
        <v>85</v>
      </c>
      <c r="AF67" s="30" t="s">
        <v>85</v>
      </c>
      <c r="AG67" s="28">
        <v>44713</v>
      </c>
      <c r="AH67" s="29">
        <v>44742</v>
      </c>
      <c r="AI67" s="13">
        <f t="shared" ref="AI67:AI86" si="7">COUNTIFS($C$3:$AF$3,"&gt;="&amp;AG67,$C$3:$AF$3,"&lt;="&amp;AH67,C67:AF67,"ح")</f>
        <v>28</v>
      </c>
      <c r="AJ67" s="13">
        <f t="shared" ref="AJ67:AJ86" si="8">COUNTIFS($C$3:$AF$3,"&gt;="&amp;AG67,$C$3:$AF$3,"&lt;="&amp;AH67,C67:AF67,"غ")</f>
        <v>0</v>
      </c>
      <c r="AK67" s="13">
        <f t="shared" si="5"/>
        <v>2</v>
      </c>
      <c r="AL67" s="26">
        <f t="shared" si="6"/>
        <v>1</v>
      </c>
    </row>
    <row r="68" spans="1:38" x14ac:dyDescent="0.3">
      <c r="A68" s="3">
        <f t="shared" si="3"/>
        <v>65</v>
      </c>
      <c r="B68" s="3" t="s">
        <v>65</v>
      </c>
      <c r="C68" s="30" t="s">
        <v>85</v>
      </c>
      <c r="D68" s="30" t="s">
        <v>85</v>
      </c>
      <c r="E68" s="32" t="s">
        <v>83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85</v>
      </c>
      <c r="K68" s="30" t="s">
        <v>85</v>
      </c>
      <c r="L68" s="32" t="s">
        <v>83</v>
      </c>
      <c r="M68" s="30" t="s">
        <v>85</v>
      </c>
      <c r="N68" s="30" t="s">
        <v>85</v>
      </c>
      <c r="O68" s="30" t="s">
        <v>85</v>
      </c>
      <c r="P68" s="30" t="s">
        <v>85</v>
      </c>
      <c r="Q68" s="30" t="s">
        <v>85</v>
      </c>
      <c r="R68" s="30" t="s">
        <v>85</v>
      </c>
      <c r="S68" s="32" t="s">
        <v>83</v>
      </c>
      <c r="T68" s="30" t="s">
        <v>85</v>
      </c>
      <c r="U68" s="30" t="s">
        <v>85</v>
      </c>
      <c r="V68" s="30" t="s">
        <v>85</v>
      </c>
      <c r="W68" s="30" t="s">
        <v>93</v>
      </c>
      <c r="X68" s="30" t="s">
        <v>85</v>
      </c>
      <c r="Y68" s="30" t="s">
        <v>85</v>
      </c>
      <c r="Z68" s="32" t="s">
        <v>83</v>
      </c>
      <c r="AA68" s="30" t="s">
        <v>85</v>
      </c>
      <c r="AB68" s="30" t="s">
        <v>85</v>
      </c>
      <c r="AC68" s="30" t="s">
        <v>85</v>
      </c>
      <c r="AD68" s="30" t="s">
        <v>85</v>
      </c>
      <c r="AE68" s="30" t="s">
        <v>85</v>
      </c>
      <c r="AF68" s="30" t="s">
        <v>85</v>
      </c>
      <c r="AG68" s="28">
        <v>44713</v>
      </c>
      <c r="AH68" s="29">
        <v>44742</v>
      </c>
      <c r="AI68" s="13">
        <f t="shared" si="7"/>
        <v>25</v>
      </c>
      <c r="AJ68" s="13">
        <f t="shared" si="8"/>
        <v>0</v>
      </c>
      <c r="AK68" s="13">
        <f t="shared" si="5"/>
        <v>4</v>
      </c>
      <c r="AL68" s="26">
        <f t="shared" ref="AL68:AL86" si="9">IF(AG68="",0,1)</f>
        <v>1</v>
      </c>
    </row>
    <row r="69" spans="1:38" x14ac:dyDescent="0.3">
      <c r="A69" s="3">
        <f t="shared" ref="A69:A86" si="10">ROW()-3</f>
        <v>66</v>
      </c>
      <c r="B69" s="3" t="s">
        <v>66</v>
      </c>
      <c r="C69" s="30" t="s">
        <v>85</v>
      </c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85</v>
      </c>
      <c r="L69" s="32" t="s">
        <v>85</v>
      </c>
      <c r="M69" s="30" t="s">
        <v>85</v>
      </c>
      <c r="N69" s="30" t="s">
        <v>85</v>
      </c>
      <c r="O69" s="30" t="s">
        <v>85</v>
      </c>
      <c r="P69" s="30" t="s">
        <v>85</v>
      </c>
      <c r="Q69" s="30" t="s">
        <v>85</v>
      </c>
      <c r="R69" s="30" t="s">
        <v>85</v>
      </c>
      <c r="S69" s="32" t="s">
        <v>85</v>
      </c>
      <c r="T69" s="30" t="s">
        <v>85</v>
      </c>
      <c r="U69" s="30" t="s">
        <v>85</v>
      </c>
      <c r="V69" s="30" t="s">
        <v>85</v>
      </c>
      <c r="W69" s="30" t="s">
        <v>85</v>
      </c>
      <c r="X69" s="30" t="s">
        <v>85</v>
      </c>
      <c r="Y69" s="30" t="s">
        <v>85</v>
      </c>
      <c r="Z69" s="32" t="s">
        <v>85</v>
      </c>
      <c r="AA69" s="30" t="s">
        <v>85</v>
      </c>
      <c r="AB69" s="30" t="s">
        <v>85</v>
      </c>
      <c r="AC69" s="30" t="s">
        <v>85</v>
      </c>
      <c r="AD69" s="30" t="s">
        <v>85</v>
      </c>
      <c r="AE69" s="30" t="s">
        <v>85</v>
      </c>
      <c r="AF69" s="30" t="s">
        <v>85</v>
      </c>
      <c r="AG69" s="28">
        <v>44713</v>
      </c>
      <c r="AH69" s="29">
        <v>44742</v>
      </c>
      <c r="AI69" s="13">
        <f t="shared" si="7"/>
        <v>30</v>
      </c>
      <c r="AJ69" s="13">
        <f t="shared" si="8"/>
        <v>0</v>
      </c>
      <c r="AK69" s="13">
        <f t="shared" ref="AK69:AK86" si="11">COUNTIFS($C$3:$AF$3,"&gt;="&amp;AG69,$C$3:$AF$3,"&lt;="&amp;AH69,C69:AF69,"م")</f>
        <v>0</v>
      </c>
      <c r="AL69" s="26">
        <f t="shared" si="9"/>
        <v>1</v>
      </c>
    </row>
    <row r="70" spans="1:38" x14ac:dyDescent="0.3">
      <c r="A70" s="3">
        <f t="shared" si="10"/>
        <v>67</v>
      </c>
      <c r="B70" s="3" t="s">
        <v>67</v>
      </c>
      <c r="C70" s="30" t="s">
        <v>83</v>
      </c>
      <c r="D70" s="30" t="s">
        <v>83</v>
      </c>
      <c r="E70" s="32" t="s">
        <v>83</v>
      </c>
      <c r="F70" s="30" t="s">
        <v>83</v>
      </c>
      <c r="G70" s="30" t="s">
        <v>85</v>
      </c>
      <c r="H70" s="30" t="s">
        <v>85</v>
      </c>
      <c r="I70" s="30" t="s">
        <v>85</v>
      </c>
      <c r="J70" s="30" t="s">
        <v>85</v>
      </c>
      <c r="K70" s="30" t="s">
        <v>85</v>
      </c>
      <c r="L70" s="32" t="s">
        <v>85</v>
      </c>
      <c r="M70" s="30" t="s">
        <v>85</v>
      </c>
      <c r="N70" s="30" t="s">
        <v>85</v>
      </c>
      <c r="O70" s="30" t="s">
        <v>85</v>
      </c>
      <c r="P70" s="30" t="s">
        <v>85</v>
      </c>
      <c r="Q70" s="30" t="s">
        <v>85</v>
      </c>
      <c r="R70" s="30" t="s">
        <v>85</v>
      </c>
      <c r="S70" s="32" t="s">
        <v>85</v>
      </c>
      <c r="T70" s="30" t="s">
        <v>85</v>
      </c>
      <c r="U70" s="30" t="s">
        <v>85</v>
      </c>
      <c r="V70" s="30" t="s">
        <v>85</v>
      </c>
      <c r="W70" s="30" t="s">
        <v>85</v>
      </c>
      <c r="X70" s="30" t="s">
        <v>85</v>
      </c>
      <c r="Y70" s="30" t="s">
        <v>85</v>
      </c>
      <c r="Z70" s="32" t="s">
        <v>85</v>
      </c>
      <c r="AA70" s="30" t="s">
        <v>85</v>
      </c>
      <c r="AB70" s="30" t="s">
        <v>85</v>
      </c>
      <c r="AC70" s="30" t="s">
        <v>85</v>
      </c>
      <c r="AD70" s="30" t="s">
        <v>85</v>
      </c>
      <c r="AE70" s="30" t="s">
        <v>83</v>
      </c>
      <c r="AF70" s="30" t="s">
        <v>83</v>
      </c>
      <c r="AG70" s="28">
        <v>44713</v>
      </c>
      <c r="AH70" s="29">
        <v>44742</v>
      </c>
      <c r="AI70" s="13">
        <f t="shared" si="7"/>
        <v>24</v>
      </c>
      <c r="AJ70" s="13">
        <f t="shared" si="8"/>
        <v>0</v>
      </c>
      <c r="AK70" s="13">
        <f t="shared" si="11"/>
        <v>6</v>
      </c>
      <c r="AL70" s="26">
        <f t="shared" si="9"/>
        <v>1</v>
      </c>
    </row>
    <row r="71" spans="1:38" x14ac:dyDescent="0.3">
      <c r="A71" s="3">
        <f t="shared" si="10"/>
        <v>68</v>
      </c>
      <c r="B71" s="3" t="s">
        <v>68</v>
      </c>
      <c r="C71" s="30" t="s">
        <v>85</v>
      </c>
      <c r="D71" s="30" t="s">
        <v>85</v>
      </c>
      <c r="E71" s="32" t="s">
        <v>83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85</v>
      </c>
      <c r="K71" s="30" t="s">
        <v>85</v>
      </c>
      <c r="L71" s="32" t="s">
        <v>83</v>
      </c>
      <c r="M71" s="30" t="s">
        <v>85</v>
      </c>
      <c r="N71" s="30" t="s">
        <v>85</v>
      </c>
      <c r="O71" s="30" t="s">
        <v>85</v>
      </c>
      <c r="P71" s="30" t="s">
        <v>85</v>
      </c>
      <c r="Q71" s="30" t="s">
        <v>85</v>
      </c>
      <c r="R71" s="30" t="s">
        <v>85</v>
      </c>
      <c r="S71" s="32" t="s">
        <v>83</v>
      </c>
      <c r="T71" s="30" t="s">
        <v>85</v>
      </c>
      <c r="U71" s="30" t="s">
        <v>85</v>
      </c>
      <c r="V71" s="30" t="s">
        <v>85</v>
      </c>
      <c r="W71" s="30" t="s">
        <v>85</v>
      </c>
      <c r="X71" s="30" t="s">
        <v>85</v>
      </c>
      <c r="Y71" s="30" t="s">
        <v>85</v>
      </c>
      <c r="Z71" s="32" t="s">
        <v>83</v>
      </c>
      <c r="AA71" s="30" t="s">
        <v>85</v>
      </c>
      <c r="AB71" s="30" t="s">
        <v>85</v>
      </c>
      <c r="AC71" s="30" t="s">
        <v>85</v>
      </c>
      <c r="AD71" s="30" t="s">
        <v>85</v>
      </c>
      <c r="AE71" s="30" t="s">
        <v>85</v>
      </c>
      <c r="AF71" s="30" t="s">
        <v>85</v>
      </c>
      <c r="AG71" s="28">
        <v>44713</v>
      </c>
      <c r="AH71" s="29">
        <v>44742</v>
      </c>
      <c r="AI71" s="13">
        <f t="shared" si="7"/>
        <v>26</v>
      </c>
      <c r="AJ71" s="13">
        <f t="shared" si="8"/>
        <v>0</v>
      </c>
      <c r="AK71" s="13">
        <f t="shared" si="11"/>
        <v>4</v>
      </c>
      <c r="AL71" s="26">
        <f t="shared" si="9"/>
        <v>1</v>
      </c>
    </row>
    <row r="72" spans="1:38" x14ac:dyDescent="0.3">
      <c r="A72" s="3">
        <f t="shared" si="10"/>
        <v>69</v>
      </c>
      <c r="B72" s="3" t="s">
        <v>69</v>
      </c>
      <c r="C72" s="30" t="s">
        <v>94</v>
      </c>
      <c r="D72" s="30" t="s">
        <v>85</v>
      </c>
      <c r="E72" s="32" t="s">
        <v>83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85</v>
      </c>
      <c r="K72" s="30" t="s">
        <v>85</v>
      </c>
      <c r="L72" s="32" t="s">
        <v>83</v>
      </c>
      <c r="M72" s="30" t="s">
        <v>85</v>
      </c>
      <c r="N72" s="30" t="s">
        <v>85</v>
      </c>
      <c r="O72" s="30" t="s">
        <v>85</v>
      </c>
      <c r="P72" s="30" t="s">
        <v>85</v>
      </c>
      <c r="Q72" s="30" t="s">
        <v>85</v>
      </c>
      <c r="R72" s="30" t="s">
        <v>85</v>
      </c>
      <c r="S72" s="32" t="s">
        <v>83</v>
      </c>
      <c r="T72" s="30" t="s">
        <v>85</v>
      </c>
      <c r="U72" s="30" t="s">
        <v>85</v>
      </c>
      <c r="V72" s="30" t="s">
        <v>85</v>
      </c>
      <c r="W72" s="30" t="s">
        <v>85</v>
      </c>
      <c r="X72" s="30" t="s">
        <v>85</v>
      </c>
      <c r="Y72" s="30" t="s">
        <v>85</v>
      </c>
      <c r="Z72" s="32" t="s">
        <v>85</v>
      </c>
      <c r="AA72" s="30" t="s">
        <v>85</v>
      </c>
      <c r="AB72" s="30" t="s">
        <v>85</v>
      </c>
      <c r="AC72" s="30" t="s">
        <v>85</v>
      </c>
      <c r="AD72" s="30" t="s">
        <v>85</v>
      </c>
      <c r="AE72" s="30" t="s">
        <v>85</v>
      </c>
      <c r="AF72" s="30" t="s">
        <v>85</v>
      </c>
      <c r="AG72" s="28">
        <v>44713</v>
      </c>
      <c r="AH72" s="29">
        <v>44742</v>
      </c>
      <c r="AI72" s="13">
        <f t="shared" si="7"/>
        <v>26</v>
      </c>
      <c r="AJ72" s="13">
        <f t="shared" si="8"/>
        <v>0</v>
      </c>
      <c r="AK72" s="13">
        <f t="shared" si="11"/>
        <v>3</v>
      </c>
      <c r="AL72" s="26">
        <f t="shared" si="9"/>
        <v>1</v>
      </c>
    </row>
    <row r="73" spans="1:38" x14ac:dyDescent="0.3">
      <c r="A73" s="3">
        <f t="shared" si="10"/>
        <v>70</v>
      </c>
      <c r="B73" s="3" t="s">
        <v>70</v>
      </c>
      <c r="C73" s="30" t="s">
        <v>94</v>
      </c>
      <c r="D73" s="30" t="s">
        <v>85</v>
      </c>
      <c r="E73" s="32" t="s">
        <v>83</v>
      </c>
      <c r="F73" s="30" t="s">
        <v>85</v>
      </c>
      <c r="G73" s="30" t="s">
        <v>85</v>
      </c>
      <c r="H73" s="30" t="s">
        <v>85</v>
      </c>
      <c r="I73" s="30" t="s">
        <v>92</v>
      </c>
      <c r="J73" s="30" t="s">
        <v>92</v>
      </c>
      <c r="K73" s="30" t="s">
        <v>92</v>
      </c>
      <c r="L73" s="32" t="s">
        <v>92</v>
      </c>
      <c r="M73" s="30" t="s">
        <v>92</v>
      </c>
      <c r="N73" s="30" t="s">
        <v>85</v>
      </c>
      <c r="O73" s="30" t="s">
        <v>85</v>
      </c>
      <c r="P73" s="30" t="s">
        <v>85</v>
      </c>
      <c r="Q73" s="30" t="s">
        <v>85</v>
      </c>
      <c r="R73" s="30" t="s">
        <v>85</v>
      </c>
      <c r="S73" s="32" t="s">
        <v>83</v>
      </c>
      <c r="T73" s="30" t="s">
        <v>85</v>
      </c>
      <c r="U73" s="30" t="s">
        <v>85</v>
      </c>
      <c r="V73" s="30" t="s">
        <v>85</v>
      </c>
      <c r="W73" s="30" t="s">
        <v>85</v>
      </c>
      <c r="X73" s="30" t="s">
        <v>85</v>
      </c>
      <c r="Y73" s="30" t="s">
        <v>85</v>
      </c>
      <c r="Z73" s="32" t="s">
        <v>85</v>
      </c>
      <c r="AA73" s="30" t="s">
        <v>85</v>
      </c>
      <c r="AB73" s="30" t="s">
        <v>85</v>
      </c>
      <c r="AC73" s="30" t="s">
        <v>85</v>
      </c>
      <c r="AD73" s="30" t="s">
        <v>85</v>
      </c>
      <c r="AE73" s="30" t="s">
        <v>85</v>
      </c>
      <c r="AF73" s="30" t="s">
        <v>85</v>
      </c>
      <c r="AG73" s="28">
        <v>44713</v>
      </c>
      <c r="AH73" s="29">
        <v>44742</v>
      </c>
      <c r="AI73" s="13">
        <f t="shared" si="7"/>
        <v>22</v>
      </c>
      <c r="AJ73" s="13">
        <f t="shared" si="8"/>
        <v>5</v>
      </c>
      <c r="AK73" s="13">
        <f t="shared" si="11"/>
        <v>2</v>
      </c>
      <c r="AL73" s="26">
        <f t="shared" si="9"/>
        <v>1</v>
      </c>
    </row>
    <row r="74" spans="1:38" x14ac:dyDescent="0.3">
      <c r="A74" s="3">
        <f t="shared" si="10"/>
        <v>71</v>
      </c>
      <c r="B74" s="3" t="s">
        <v>71</v>
      </c>
      <c r="C74" s="30" t="s">
        <v>85</v>
      </c>
      <c r="D74" s="30" t="s">
        <v>85</v>
      </c>
      <c r="E74" s="30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85</v>
      </c>
      <c r="L74" s="32" t="s">
        <v>85</v>
      </c>
      <c r="M74" s="30" t="s">
        <v>85</v>
      </c>
      <c r="N74" s="30" t="s">
        <v>85</v>
      </c>
      <c r="O74" s="30" t="s">
        <v>85</v>
      </c>
      <c r="P74" s="30" t="s">
        <v>85</v>
      </c>
      <c r="Q74" s="30" t="s">
        <v>85</v>
      </c>
      <c r="R74" s="30" t="s">
        <v>85</v>
      </c>
      <c r="S74" s="32" t="s">
        <v>85</v>
      </c>
      <c r="T74" s="30" t="s">
        <v>85</v>
      </c>
      <c r="U74" s="30" t="s">
        <v>85</v>
      </c>
      <c r="V74" s="30" t="s">
        <v>85</v>
      </c>
      <c r="W74" s="30" t="s">
        <v>85</v>
      </c>
      <c r="X74" s="30" t="s">
        <v>85</v>
      </c>
      <c r="Y74" s="30" t="s">
        <v>85</v>
      </c>
      <c r="Z74" s="32" t="s">
        <v>85</v>
      </c>
      <c r="AA74" s="30" t="s">
        <v>85</v>
      </c>
      <c r="AB74" s="30" t="s">
        <v>85</v>
      </c>
      <c r="AC74" s="30" t="s">
        <v>85</v>
      </c>
      <c r="AD74" s="30" t="s">
        <v>85</v>
      </c>
      <c r="AE74" s="30" t="s">
        <v>85</v>
      </c>
      <c r="AF74" s="30" t="s">
        <v>85</v>
      </c>
      <c r="AG74" s="28">
        <v>44713</v>
      </c>
      <c r="AH74" s="29">
        <v>44742</v>
      </c>
      <c r="AI74" s="13">
        <f t="shared" si="7"/>
        <v>30</v>
      </c>
      <c r="AJ74" s="13">
        <f t="shared" si="8"/>
        <v>0</v>
      </c>
      <c r="AK74" s="13">
        <f t="shared" si="11"/>
        <v>0</v>
      </c>
      <c r="AL74" s="26">
        <f t="shared" si="9"/>
        <v>1</v>
      </c>
    </row>
    <row r="75" spans="1:38" x14ac:dyDescent="0.3">
      <c r="A75" s="3">
        <f t="shared" si="10"/>
        <v>72</v>
      </c>
      <c r="B75" s="3" t="s">
        <v>124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 t="s">
        <v>85</v>
      </c>
      <c r="T75" s="30" t="s">
        <v>85</v>
      </c>
      <c r="U75" s="30" t="s">
        <v>85</v>
      </c>
      <c r="V75" s="30" t="s">
        <v>85</v>
      </c>
      <c r="W75" s="30" t="s">
        <v>85</v>
      </c>
      <c r="X75" s="30" t="s">
        <v>85</v>
      </c>
      <c r="Y75" s="30" t="s">
        <v>85</v>
      </c>
      <c r="Z75" s="32" t="s">
        <v>85</v>
      </c>
      <c r="AA75" s="30" t="s">
        <v>85</v>
      </c>
      <c r="AB75" s="30" t="s">
        <v>85</v>
      </c>
      <c r="AC75" s="30" t="s">
        <v>85</v>
      </c>
      <c r="AD75" s="30" t="s">
        <v>85</v>
      </c>
      <c r="AE75" s="30" t="s">
        <v>85</v>
      </c>
      <c r="AF75" s="30" t="s">
        <v>83</v>
      </c>
      <c r="AG75" s="28">
        <v>44713</v>
      </c>
      <c r="AH75" s="29">
        <v>44742</v>
      </c>
      <c r="AI75" s="13">
        <f t="shared" si="7"/>
        <v>13</v>
      </c>
      <c r="AJ75" s="13">
        <f t="shared" si="8"/>
        <v>0</v>
      </c>
      <c r="AK75" s="13">
        <f t="shared" si="11"/>
        <v>1</v>
      </c>
      <c r="AL75" s="26">
        <f t="shared" si="9"/>
        <v>1</v>
      </c>
    </row>
    <row r="76" spans="1:38" x14ac:dyDescent="0.3">
      <c r="A76" s="3">
        <f t="shared" si="10"/>
        <v>73</v>
      </c>
      <c r="B76" s="3" t="s">
        <v>73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 t="s">
        <v>85</v>
      </c>
      <c r="S76" s="32" t="s">
        <v>83</v>
      </c>
      <c r="T76" s="30" t="s">
        <v>85</v>
      </c>
      <c r="U76" s="30" t="s">
        <v>85</v>
      </c>
      <c r="V76" s="30" t="s">
        <v>85</v>
      </c>
      <c r="W76" s="30" t="s">
        <v>85</v>
      </c>
      <c r="X76" s="30" t="s">
        <v>85</v>
      </c>
      <c r="Y76" s="30" t="s">
        <v>85</v>
      </c>
      <c r="Z76" s="32" t="s">
        <v>85</v>
      </c>
      <c r="AA76" s="30" t="s">
        <v>85</v>
      </c>
      <c r="AB76" s="30" t="s">
        <v>85</v>
      </c>
      <c r="AC76" s="30" t="s">
        <v>85</v>
      </c>
      <c r="AD76" s="30" t="s">
        <v>85</v>
      </c>
      <c r="AE76" s="30" t="s">
        <v>85</v>
      </c>
      <c r="AF76" s="30" t="s">
        <v>85</v>
      </c>
      <c r="AG76" s="28">
        <v>44713</v>
      </c>
      <c r="AH76" s="29">
        <v>44742</v>
      </c>
      <c r="AI76" s="13">
        <f t="shared" si="7"/>
        <v>14</v>
      </c>
      <c r="AJ76" s="13">
        <f t="shared" si="8"/>
        <v>0</v>
      </c>
      <c r="AK76" s="13">
        <f t="shared" si="11"/>
        <v>1</v>
      </c>
      <c r="AL76" s="26">
        <f t="shared" si="9"/>
        <v>1</v>
      </c>
    </row>
    <row r="77" spans="1:38" x14ac:dyDescent="0.3">
      <c r="A77" s="3">
        <f t="shared" si="10"/>
        <v>74</v>
      </c>
      <c r="B77" s="3" t="s">
        <v>74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 t="s">
        <v>85</v>
      </c>
      <c r="X77" s="30" t="s">
        <v>85</v>
      </c>
      <c r="Y77" s="30" t="s">
        <v>85</v>
      </c>
      <c r="Z77" s="32" t="s">
        <v>85</v>
      </c>
      <c r="AA77" s="30" t="s">
        <v>85</v>
      </c>
      <c r="AB77" s="30" t="s">
        <v>85</v>
      </c>
      <c r="AC77" s="30" t="s">
        <v>85</v>
      </c>
      <c r="AD77" s="30" t="s">
        <v>85</v>
      </c>
      <c r="AE77" s="30" t="s">
        <v>85</v>
      </c>
      <c r="AF77" s="30" t="s">
        <v>85</v>
      </c>
      <c r="AG77" s="28">
        <v>44713</v>
      </c>
      <c r="AH77" s="29">
        <v>44742</v>
      </c>
      <c r="AI77" s="13">
        <f t="shared" si="7"/>
        <v>10</v>
      </c>
      <c r="AJ77" s="13">
        <f t="shared" si="8"/>
        <v>0</v>
      </c>
      <c r="AK77" s="13">
        <f t="shared" si="11"/>
        <v>0</v>
      </c>
      <c r="AL77" s="26">
        <f t="shared" si="9"/>
        <v>1</v>
      </c>
    </row>
    <row r="78" spans="1:38" x14ac:dyDescent="0.3">
      <c r="A78" s="3">
        <f t="shared" si="10"/>
        <v>75</v>
      </c>
      <c r="B78" s="3" t="s">
        <v>75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 t="s">
        <v>85</v>
      </c>
      <c r="W78" s="30" t="s">
        <v>85</v>
      </c>
      <c r="X78" s="30" t="s">
        <v>85</v>
      </c>
      <c r="Y78" s="30" t="s">
        <v>85</v>
      </c>
      <c r="Z78" s="32" t="s">
        <v>85</v>
      </c>
      <c r="AA78" s="30" t="s">
        <v>85</v>
      </c>
      <c r="AB78" s="30" t="s">
        <v>85</v>
      </c>
      <c r="AC78" s="30" t="s">
        <v>85</v>
      </c>
      <c r="AD78" s="30" t="s">
        <v>85</v>
      </c>
      <c r="AE78" s="30" t="s">
        <v>85</v>
      </c>
      <c r="AF78" s="30" t="s">
        <v>85</v>
      </c>
      <c r="AG78" s="28">
        <v>44713</v>
      </c>
      <c r="AH78" s="29">
        <v>44742</v>
      </c>
      <c r="AI78" s="13">
        <f t="shared" si="7"/>
        <v>11</v>
      </c>
      <c r="AJ78" s="13">
        <f t="shared" si="8"/>
        <v>0</v>
      </c>
      <c r="AK78" s="13">
        <f t="shared" si="11"/>
        <v>0</v>
      </c>
      <c r="AL78" s="26">
        <f t="shared" si="9"/>
        <v>1</v>
      </c>
    </row>
    <row r="79" spans="1:38" x14ac:dyDescent="0.3">
      <c r="A79" s="3">
        <f t="shared" si="10"/>
        <v>76</v>
      </c>
      <c r="B79" s="13" t="s">
        <v>87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 t="s">
        <v>85</v>
      </c>
      <c r="S79" s="32" t="s">
        <v>83</v>
      </c>
      <c r="T79" s="30" t="s">
        <v>85</v>
      </c>
      <c r="U79" s="30" t="s">
        <v>85</v>
      </c>
      <c r="V79" s="30" t="s">
        <v>85</v>
      </c>
      <c r="W79" s="30" t="s">
        <v>85</v>
      </c>
      <c r="X79" s="30" t="s">
        <v>85</v>
      </c>
      <c r="Y79" s="30" t="s">
        <v>85</v>
      </c>
      <c r="Z79" s="32" t="s">
        <v>83</v>
      </c>
      <c r="AA79" s="30" t="s">
        <v>85</v>
      </c>
      <c r="AB79" s="30" t="s">
        <v>85</v>
      </c>
      <c r="AC79" s="30" t="s">
        <v>85</v>
      </c>
      <c r="AD79" s="30" t="s">
        <v>92</v>
      </c>
      <c r="AE79" s="30" t="s">
        <v>85</v>
      </c>
      <c r="AF79" s="30" t="s">
        <v>85</v>
      </c>
      <c r="AG79" s="28">
        <v>44713</v>
      </c>
      <c r="AH79" s="29">
        <v>44742</v>
      </c>
      <c r="AI79" s="13">
        <f t="shared" si="7"/>
        <v>12</v>
      </c>
      <c r="AJ79" s="13">
        <f t="shared" si="8"/>
        <v>1</v>
      </c>
      <c r="AK79" s="13">
        <f t="shared" si="11"/>
        <v>2</v>
      </c>
      <c r="AL79" s="26">
        <f t="shared" si="9"/>
        <v>1</v>
      </c>
    </row>
    <row r="80" spans="1:38" x14ac:dyDescent="0.3">
      <c r="A80" s="3">
        <f t="shared" si="10"/>
        <v>77</v>
      </c>
      <c r="B80" s="13" t="s">
        <v>88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 t="s">
        <v>85</v>
      </c>
      <c r="S80" s="32" t="s">
        <v>83</v>
      </c>
      <c r="T80" s="30" t="s">
        <v>85</v>
      </c>
      <c r="U80" s="30" t="s">
        <v>85</v>
      </c>
      <c r="V80" s="30" t="s">
        <v>85</v>
      </c>
      <c r="W80" s="30" t="s">
        <v>85</v>
      </c>
      <c r="X80" s="30" t="s">
        <v>85</v>
      </c>
      <c r="Y80" s="30" t="s">
        <v>85</v>
      </c>
      <c r="Z80" s="32" t="s">
        <v>83</v>
      </c>
      <c r="AA80" s="30" t="s">
        <v>85</v>
      </c>
      <c r="AB80" s="30" t="s">
        <v>85</v>
      </c>
      <c r="AC80" s="30" t="s">
        <v>85</v>
      </c>
      <c r="AD80" s="30" t="s">
        <v>85</v>
      </c>
      <c r="AE80" s="30" t="s">
        <v>85</v>
      </c>
      <c r="AF80" s="30" t="s">
        <v>85</v>
      </c>
      <c r="AG80" s="28">
        <v>44713</v>
      </c>
      <c r="AH80" s="29">
        <v>44742</v>
      </c>
      <c r="AI80" s="13">
        <f t="shared" si="7"/>
        <v>13</v>
      </c>
      <c r="AJ80" s="13">
        <f t="shared" si="8"/>
        <v>0</v>
      </c>
      <c r="AK80" s="13">
        <f t="shared" si="11"/>
        <v>2</v>
      </c>
      <c r="AL80" s="26">
        <f t="shared" si="9"/>
        <v>1</v>
      </c>
    </row>
    <row r="81" spans="1:38" x14ac:dyDescent="0.3">
      <c r="A81" s="3">
        <f t="shared" si="10"/>
        <v>78</v>
      </c>
      <c r="B81" s="13" t="s">
        <v>89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 t="s">
        <v>85</v>
      </c>
      <c r="S81" s="32" t="s">
        <v>83</v>
      </c>
      <c r="T81" s="30" t="s">
        <v>85</v>
      </c>
      <c r="U81" s="30" t="s">
        <v>85</v>
      </c>
      <c r="V81" s="30" t="s">
        <v>85</v>
      </c>
      <c r="W81" s="30" t="s">
        <v>85</v>
      </c>
      <c r="X81" s="30" t="s">
        <v>85</v>
      </c>
      <c r="Y81" s="30" t="s">
        <v>92</v>
      </c>
      <c r="Z81" s="32" t="s">
        <v>83</v>
      </c>
      <c r="AA81" s="30" t="s">
        <v>85</v>
      </c>
      <c r="AB81" s="30" t="s">
        <v>85</v>
      </c>
      <c r="AC81" s="30" t="s">
        <v>85</v>
      </c>
      <c r="AD81" s="30" t="s">
        <v>92</v>
      </c>
      <c r="AE81" s="30" t="s">
        <v>85</v>
      </c>
      <c r="AF81" s="30" t="s">
        <v>85</v>
      </c>
      <c r="AG81" s="28">
        <v>44713</v>
      </c>
      <c r="AH81" s="29">
        <v>44742</v>
      </c>
      <c r="AI81" s="13">
        <f t="shared" si="7"/>
        <v>11</v>
      </c>
      <c r="AJ81" s="13">
        <f t="shared" si="8"/>
        <v>2</v>
      </c>
      <c r="AK81" s="13">
        <f t="shared" si="11"/>
        <v>2</v>
      </c>
      <c r="AL81" s="26">
        <f t="shared" si="9"/>
        <v>1</v>
      </c>
    </row>
    <row r="82" spans="1:38" x14ac:dyDescent="0.3">
      <c r="A82" s="3">
        <f t="shared" si="10"/>
        <v>79</v>
      </c>
      <c r="B82" s="13" t="s">
        <v>90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 t="s">
        <v>85</v>
      </c>
      <c r="S82" s="32" t="s">
        <v>83</v>
      </c>
      <c r="T82" s="30" t="s">
        <v>85</v>
      </c>
      <c r="U82" s="30" t="s">
        <v>85</v>
      </c>
      <c r="V82" s="30" t="s">
        <v>85</v>
      </c>
      <c r="W82" s="30" t="s">
        <v>85</v>
      </c>
      <c r="X82" s="30" t="s">
        <v>85</v>
      </c>
      <c r="Y82" s="30" t="s">
        <v>92</v>
      </c>
      <c r="Z82" s="32" t="s">
        <v>83</v>
      </c>
      <c r="AA82" s="30" t="s">
        <v>85</v>
      </c>
      <c r="AB82" s="30" t="s">
        <v>85</v>
      </c>
      <c r="AC82" s="30" t="s">
        <v>85</v>
      </c>
      <c r="AD82" s="30" t="s">
        <v>92</v>
      </c>
      <c r="AE82" s="30" t="s">
        <v>85</v>
      </c>
      <c r="AF82" s="30" t="s">
        <v>85</v>
      </c>
      <c r="AG82" s="28">
        <v>44713</v>
      </c>
      <c r="AH82" s="29">
        <v>44742</v>
      </c>
      <c r="AI82" s="13">
        <f t="shared" si="7"/>
        <v>11</v>
      </c>
      <c r="AJ82" s="13">
        <f t="shared" si="8"/>
        <v>2</v>
      </c>
      <c r="AK82" s="13">
        <f t="shared" si="11"/>
        <v>2</v>
      </c>
      <c r="AL82" s="26">
        <f t="shared" si="9"/>
        <v>1</v>
      </c>
    </row>
    <row r="83" spans="1:38" x14ac:dyDescent="0.3">
      <c r="A83" s="3">
        <f t="shared" si="10"/>
        <v>80</v>
      </c>
      <c r="B83" s="13" t="s">
        <v>91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 t="s">
        <v>85</v>
      </c>
      <c r="S83" s="32" t="s">
        <v>83</v>
      </c>
      <c r="T83" s="30" t="s">
        <v>85</v>
      </c>
      <c r="U83" s="30" t="s">
        <v>85</v>
      </c>
      <c r="V83" s="30" t="s">
        <v>85</v>
      </c>
      <c r="W83" s="30" t="s">
        <v>85</v>
      </c>
      <c r="X83" s="30" t="s">
        <v>85</v>
      </c>
      <c r="Y83" s="30" t="s">
        <v>85</v>
      </c>
      <c r="Z83" s="32" t="s">
        <v>83</v>
      </c>
      <c r="AA83" s="30" t="s">
        <v>85</v>
      </c>
      <c r="AB83" s="30" t="s">
        <v>85</v>
      </c>
      <c r="AC83" s="30" t="s">
        <v>85</v>
      </c>
      <c r="AD83" s="30" t="s">
        <v>85</v>
      </c>
      <c r="AE83" s="30" t="s">
        <v>85</v>
      </c>
      <c r="AF83" s="30" t="s">
        <v>85</v>
      </c>
      <c r="AG83" s="28">
        <v>44713</v>
      </c>
      <c r="AH83" s="29">
        <v>44742</v>
      </c>
      <c r="AI83" s="13">
        <f t="shared" si="7"/>
        <v>13</v>
      </c>
      <c r="AJ83" s="13">
        <f t="shared" si="8"/>
        <v>0</v>
      </c>
      <c r="AK83" s="13">
        <f t="shared" si="11"/>
        <v>2</v>
      </c>
      <c r="AL83" s="26">
        <f t="shared" si="9"/>
        <v>1</v>
      </c>
    </row>
    <row r="84" spans="1:38" x14ac:dyDescent="0.3">
      <c r="A84" s="3">
        <f t="shared" si="10"/>
        <v>81</v>
      </c>
      <c r="B84" s="13" t="s">
        <v>118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 t="s">
        <v>83</v>
      </c>
      <c r="AA84" s="30" t="s">
        <v>85</v>
      </c>
      <c r="AB84" s="30" t="s">
        <v>92</v>
      </c>
      <c r="AC84" s="30" t="s">
        <v>85</v>
      </c>
      <c r="AD84" s="30" t="s">
        <v>92</v>
      </c>
      <c r="AE84" s="30" t="s">
        <v>85</v>
      </c>
      <c r="AF84" s="30" t="s">
        <v>85</v>
      </c>
      <c r="AG84" s="28">
        <v>44713</v>
      </c>
      <c r="AH84" s="29">
        <v>44742</v>
      </c>
      <c r="AI84" s="13">
        <f t="shared" si="7"/>
        <v>4</v>
      </c>
      <c r="AJ84" s="13">
        <f t="shared" si="8"/>
        <v>2</v>
      </c>
      <c r="AK84" s="13">
        <f t="shared" si="11"/>
        <v>1</v>
      </c>
      <c r="AL84" s="26">
        <f t="shared" si="9"/>
        <v>1</v>
      </c>
    </row>
    <row r="85" spans="1:38" x14ac:dyDescent="0.3">
      <c r="A85" s="3">
        <f t="shared" si="10"/>
        <v>82</v>
      </c>
      <c r="B85" s="13" t="s">
        <v>126</v>
      </c>
      <c r="C85" s="30"/>
      <c r="D85" s="30"/>
      <c r="E85" s="32"/>
      <c r="F85" s="30"/>
      <c r="G85" s="30"/>
      <c r="H85" s="30"/>
      <c r="I85" s="30"/>
      <c r="J85" s="30"/>
      <c r="K85" s="30"/>
      <c r="L85" s="32"/>
      <c r="M85" s="30"/>
      <c r="N85" s="30"/>
      <c r="O85" s="30"/>
      <c r="P85" s="30"/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 t="s">
        <v>85</v>
      </c>
      <c r="AD85" s="30" t="s">
        <v>85</v>
      </c>
      <c r="AE85" s="30" t="s">
        <v>85</v>
      </c>
      <c r="AF85" s="30" t="s">
        <v>85</v>
      </c>
      <c r="AG85" s="28">
        <v>44713</v>
      </c>
      <c r="AH85" s="29">
        <v>44742</v>
      </c>
      <c r="AI85" s="13">
        <f t="shared" si="7"/>
        <v>4</v>
      </c>
      <c r="AJ85" s="13">
        <f t="shared" si="8"/>
        <v>0</v>
      </c>
      <c r="AK85" s="13">
        <f t="shared" si="11"/>
        <v>0</v>
      </c>
      <c r="AL85" s="26">
        <f t="shared" si="9"/>
        <v>1</v>
      </c>
    </row>
    <row r="86" spans="1:38" x14ac:dyDescent="0.3">
      <c r="A86" s="3">
        <f t="shared" si="10"/>
        <v>83</v>
      </c>
      <c r="B86" s="13" t="s">
        <v>121</v>
      </c>
      <c r="C86" s="30"/>
      <c r="D86" s="30"/>
      <c r="E86" s="32"/>
      <c r="F86" s="30"/>
      <c r="G86" s="30"/>
      <c r="H86" s="30"/>
      <c r="I86" s="30"/>
      <c r="J86" s="30"/>
      <c r="K86" s="30" t="s">
        <v>85</v>
      </c>
      <c r="L86" s="30" t="s">
        <v>85</v>
      </c>
      <c r="M86" s="30" t="s">
        <v>85</v>
      </c>
      <c r="N86" s="30" t="s">
        <v>85</v>
      </c>
      <c r="O86" s="30" t="s">
        <v>85</v>
      </c>
      <c r="P86" s="30" t="s">
        <v>85</v>
      </c>
      <c r="Q86" s="30" t="s">
        <v>85</v>
      </c>
      <c r="R86" s="30" t="s">
        <v>85</v>
      </c>
      <c r="S86" s="30" t="s">
        <v>85</v>
      </c>
      <c r="T86" s="30" t="s">
        <v>85</v>
      </c>
      <c r="U86" s="30" t="s">
        <v>85</v>
      </c>
      <c r="V86" s="30" t="s">
        <v>85</v>
      </c>
      <c r="W86" s="30" t="s">
        <v>85</v>
      </c>
      <c r="X86" s="30" t="s">
        <v>85</v>
      </c>
      <c r="Y86" s="30" t="s">
        <v>85</v>
      </c>
      <c r="Z86" s="30" t="s">
        <v>85</v>
      </c>
      <c r="AA86" s="30" t="s">
        <v>85</v>
      </c>
      <c r="AB86" s="30" t="s">
        <v>85</v>
      </c>
      <c r="AC86" s="30" t="s">
        <v>85</v>
      </c>
      <c r="AD86" s="30" t="s">
        <v>85</v>
      </c>
      <c r="AE86" s="30" t="s">
        <v>85</v>
      </c>
      <c r="AF86" s="30" t="s">
        <v>85</v>
      </c>
      <c r="AG86" s="28">
        <v>44713</v>
      </c>
      <c r="AH86" s="29">
        <v>44742</v>
      </c>
      <c r="AI86" s="13">
        <f t="shared" si="7"/>
        <v>22</v>
      </c>
      <c r="AJ86" s="13">
        <f t="shared" si="8"/>
        <v>0</v>
      </c>
      <c r="AK86" s="13">
        <f t="shared" si="11"/>
        <v>0</v>
      </c>
      <c r="AL86" s="26">
        <f t="shared" si="9"/>
        <v>1</v>
      </c>
    </row>
    <row r="1048561" spans="10:10" x14ac:dyDescent="0.3">
      <c r="J1048561" s="15"/>
    </row>
  </sheetData>
  <mergeCells count="12">
    <mergeCell ref="B2:B3"/>
    <mergeCell ref="A2:A3"/>
    <mergeCell ref="AH2:AH3"/>
    <mergeCell ref="AJ2:AJ3"/>
    <mergeCell ref="AI2:AI3"/>
    <mergeCell ref="C1:E1"/>
    <mergeCell ref="AL2:AL3"/>
    <mergeCell ref="AG2:AG3"/>
    <mergeCell ref="AA1:AB1"/>
    <mergeCell ref="L1:O1"/>
    <mergeCell ref="R1:S1"/>
    <mergeCell ref="AK2:AK3"/>
  </mergeCells>
  <conditionalFormatting sqref="C4:AF83">
    <cfRule type="cellIs" dxfId="89" priority="22" operator="equal">
      <formula>"م"</formula>
    </cfRule>
    <cfRule type="cellIs" dxfId="88" priority="23" operator="equal">
      <formula>"ح"</formula>
    </cfRule>
    <cfRule type="cellIs" dxfId="87" priority="31" operator="equal">
      <formula>"غ"</formula>
    </cfRule>
    <cfRule type="cellIs" dxfId="86" priority="32" operator="equal">
      <formula>"م"</formula>
    </cfRule>
    <cfRule type="cellIs" dxfId="85" priority="33" operator="equal">
      <formula>"ح"</formula>
    </cfRule>
  </conditionalFormatting>
  <conditionalFormatting sqref="C84:AF85">
    <cfRule type="cellIs" dxfId="84" priority="12" operator="equal">
      <formula>"م"</formula>
    </cfRule>
    <cfRule type="cellIs" dxfId="83" priority="13" operator="equal">
      <formula>"ح"</formula>
    </cfRule>
    <cfRule type="cellIs" dxfId="82" priority="14" operator="equal">
      <formula>"غ"</formula>
    </cfRule>
    <cfRule type="cellIs" dxfId="81" priority="15" operator="equal">
      <formula>"م"</formula>
    </cfRule>
    <cfRule type="cellIs" dxfId="80" priority="16" operator="equal">
      <formula>"ح"</formula>
    </cfRule>
  </conditionalFormatting>
  <conditionalFormatting sqref="C86:AF86">
    <cfRule type="cellIs" dxfId="79" priority="2" operator="equal">
      <formula>"م"</formula>
    </cfRule>
    <cfRule type="cellIs" dxfId="78" priority="3" operator="equal">
      <formula>"ح"</formula>
    </cfRule>
    <cfRule type="cellIs" dxfId="77" priority="4" operator="equal">
      <formula>"غ"</formula>
    </cfRule>
    <cfRule type="cellIs" dxfId="76" priority="5" operator="equal">
      <formula>"م"</formula>
    </cfRule>
    <cfRule type="cellIs" dxfId="75" priority="6" operator="equal">
      <formula>"ح"</formula>
    </cfRule>
  </conditionalFormatting>
  <conditionalFormatting sqref="AJ4:AK86 AJ2">
    <cfRule type="dataBar" priority="1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{F5EA244B-29DB-41E3-A864-8FF389CC847E}</x14:id>
        </ext>
      </extLst>
    </cfRule>
  </conditionalFormatting>
  <conditionalFormatting sqref="AI4:AI86 AI2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{5642EB65-62CE-4062-A9C9-0AF9B6BB8E05}</x14:id>
        </ext>
      </extLst>
    </cfRule>
  </conditionalFormatting>
  <conditionalFormatting sqref="AL4:AL86">
    <cfRule type="iconSet" priority="176">
      <iconSet>
        <cfvo type="percent" val="0"/>
        <cfvo type="percent" val="33"/>
        <cfvo type="percent" val="67"/>
      </iconSet>
    </cfRule>
  </conditionalFormatting>
  <conditionalFormatting sqref="AL4:AL86">
    <cfRule type="iconSet" priority="178">
      <iconSet iconSet="3Signs">
        <cfvo type="percent" val="0"/>
        <cfvo type="percent" val="33"/>
        <cfvo type="percent" val="67"/>
      </iconSet>
    </cfRule>
  </conditionalFormatting>
  <conditionalFormatting sqref="AK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{42940BBB-0CFA-4CFF-BCF6-A98976ACFC51}</x14:id>
        </ext>
      </extLs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A244B-29DB-41E3-A864-8FF389CC84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AJ4:AK86 AJ2</xm:sqref>
        </x14:conditionalFormatting>
        <x14:conditionalFormatting xmlns:xm="http://schemas.microsoft.com/office/excel/2006/main">
          <x14:cfRule type="dataBar" id="{5642EB65-62CE-4062-A9C9-0AF9B6BB8E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AI4:AI86 AI2</xm:sqref>
        </x14:conditionalFormatting>
        <x14:conditionalFormatting xmlns:xm="http://schemas.microsoft.com/office/excel/2006/main">
          <x14:cfRule type="dataBar" id="{42940BBB-0CFA-4CFF-BCF6-A98976ACFC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AK2</xm:sqref>
        </x14:conditionalFormatting>
        <x14:conditionalFormatting xmlns:xm="http://schemas.microsoft.com/office/excel/2006/main">
          <x14:cfRule type="iconSet" priority="180" id="{9D107AEB-1F07-4F71-8979-3ACA0694715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AM1048558"/>
  <sheetViews>
    <sheetView rightToLeft="1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72" sqref="B72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8" width="14.5546875" style="1" customWidth="1"/>
    <col min="39" max="39" width="10.88671875" style="1" bestFit="1" customWidth="1"/>
    <col min="40" max="16384" width="8.88671875" style="1"/>
  </cols>
  <sheetData>
    <row r="1" spans="1:39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107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  <c r="AL1" s="7"/>
    </row>
    <row r="2" spans="1:39" ht="45.6" customHeight="1" x14ac:dyDescent="0.3">
      <c r="A2" s="52" t="s">
        <v>0</v>
      </c>
      <c r="B2" s="52" t="s">
        <v>1</v>
      </c>
      <c r="C2" s="8" t="str">
        <f>TEXT(C3,"[$-0401]dddd")</f>
        <v>الجمعة</v>
      </c>
      <c r="D2" s="8" t="str">
        <f t="shared" ref="D2:AG2" si="0">TEXT(D3,"[$-0401]dddd")</f>
        <v>السبت</v>
      </c>
      <c r="E2" s="8" t="str">
        <f t="shared" si="0"/>
        <v>الأحد</v>
      </c>
      <c r="F2" s="8" t="str">
        <f t="shared" si="0"/>
        <v>الإثنين</v>
      </c>
      <c r="G2" s="8" t="str">
        <f t="shared" si="0"/>
        <v>الثلاثاء</v>
      </c>
      <c r="H2" s="8" t="str">
        <f t="shared" si="0"/>
        <v>الأربعاء</v>
      </c>
      <c r="I2" s="8" t="str">
        <f t="shared" si="0"/>
        <v>الخميس</v>
      </c>
      <c r="J2" s="8" t="str">
        <f t="shared" si="0"/>
        <v>الجمعة</v>
      </c>
      <c r="K2" s="8" t="str">
        <f t="shared" si="0"/>
        <v>السبت</v>
      </c>
      <c r="L2" s="8" t="str">
        <f t="shared" si="0"/>
        <v>الأحد</v>
      </c>
      <c r="M2" s="8" t="str">
        <f t="shared" si="0"/>
        <v>الإثنين</v>
      </c>
      <c r="N2" s="8" t="str">
        <f t="shared" si="0"/>
        <v>الثلاثاء</v>
      </c>
      <c r="O2" s="8" t="str">
        <f t="shared" si="0"/>
        <v>الأربعاء</v>
      </c>
      <c r="P2" s="8" t="str">
        <f t="shared" si="0"/>
        <v>الخميس</v>
      </c>
      <c r="Q2" s="8" t="str">
        <f t="shared" si="0"/>
        <v>الجمعة</v>
      </c>
      <c r="R2" s="8" t="str">
        <f t="shared" si="0"/>
        <v>السبت</v>
      </c>
      <c r="S2" s="8" t="str">
        <f t="shared" si="0"/>
        <v>الأحد</v>
      </c>
      <c r="T2" s="8" t="str">
        <f t="shared" si="0"/>
        <v>الإثنين</v>
      </c>
      <c r="U2" s="8" t="str">
        <f t="shared" si="0"/>
        <v>الثلاثاء</v>
      </c>
      <c r="V2" s="8" t="str">
        <f t="shared" si="0"/>
        <v>الأربعاء</v>
      </c>
      <c r="W2" s="8" t="str">
        <f t="shared" si="0"/>
        <v>الخميس</v>
      </c>
      <c r="X2" s="8" t="str">
        <f t="shared" si="0"/>
        <v>الجمعة</v>
      </c>
      <c r="Y2" s="8" t="str">
        <f t="shared" si="0"/>
        <v>السبت</v>
      </c>
      <c r="Z2" s="8" t="str">
        <f t="shared" si="0"/>
        <v>الأحد</v>
      </c>
      <c r="AA2" s="8" t="str">
        <f t="shared" si="0"/>
        <v>الإثنين</v>
      </c>
      <c r="AB2" s="8" t="str">
        <f t="shared" si="0"/>
        <v>الثلاثاء</v>
      </c>
      <c r="AC2" s="8" t="str">
        <f t="shared" si="0"/>
        <v>الأربعاء</v>
      </c>
      <c r="AD2" s="8" t="str">
        <f t="shared" si="0"/>
        <v>الخميس</v>
      </c>
      <c r="AE2" s="8" t="str">
        <f t="shared" si="0"/>
        <v>الجمعة</v>
      </c>
      <c r="AF2" s="8" t="str">
        <f t="shared" si="0"/>
        <v>السبت</v>
      </c>
      <c r="AG2" s="8" t="str">
        <f t="shared" si="0"/>
        <v>الأحد</v>
      </c>
      <c r="AH2" s="42" t="s">
        <v>99</v>
      </c>
      <c r="AI2" s="42" t="s">
        <v>100</v>
      </c>
      <c r="AJ2" s="44" t="s">
        <v>97</v>
      </c>
      <c r="AK2" s="44" t="s">
        <v>98</v>
      </c>
      <c r="AL2" s="44" t="s">
        <v>137</v>
      </c>
      <c r="AM2" s="46" t="s">
        <v>103</v>
      </c>
    </row>
    <row r="3" spans="1:39" x14ac:dyDescent="0.3">
      <c r="A3" s="53"/>
      <c r="B3" s="53"/>
      <c r="C3" s="21">
        <f t="shared" ref="C3:AG3" si="1">DATE(2022,$P$1,COLUMN(A:A))</f>
        <v>44743</v>
      </c>
      <c r="D3" s="21">
        <f t="shared" si="1"/>
        <v>44744</v>
      </c>
      <c r="E3" s="21">
        <f t="shared" si="1"/>
        <v>44745</v>
      </c>
      <c r="F3" s="21">
        <f t="shared" si="1"/>
        <v>44746</v>
      </c>
      <c r="G3" s="21">
        <f t="shared" si="1"/>
        <v>44747</v>
      </c>
      <c r="H3" s="21">
        <f t="shared" si="1"/>
        <v>44748</v>
      </c>
      <c r="I3" s="21">
        <f t="shared" si="1"/>
        <v>44749</v>
      </c>
      <c r="J3" s="21">
        <f t="shared" si="1"/>
        <v>44750</v>
      </c>
      <c r="K3" s="21">
        <f t="shared" si="1"/>
        <v>44751</v>
      </c>
      <c r="L3" s="21">
        <f t="shared" si="1"/>
        <v>44752</v>
      </c>
      <c r="M3" s="21">
        <f t="shared" si="1"/>
        <v>44753</v>
      </c>
      <c r="N3" s="21">
        <f t="shared" si="1"/>
        <v>44754</v>
      </c>
      <c r="O3" s="21">
        <f t="shared" si="1"/>
        <v>44755</v>
      </c>
      <c r="P3" s="21">
        <f t="shared" si="1"/>
        <v>44756</v>
      </c>
      <c r="Q3" s="21">
        <f t="shared" si="1"/>
        <v>44757</v>
      </c>
      <c r="R3" s="21">
        <f t="shared" si="1"/>
        <v>44758</v>
      </c>
      <c r="S3" s="21">
        <f t="shared" si="1"/>
        <v>44759</v>
      </c>
      <c r="T3" s="21">
        <f t="shared" si="1"/>
        <v>44760</v>
      </c>
      <c r="U3" s="21">
        <f t="shared" si="1"/>
        <v>44761</v>
      </c>
      <c r="V3" s="21">
        <f t="shared" si="1"/>
        <v>44762</v>
      </c>
      <c r="W3" s="21">
        <f t="shared" si="1"/>
        <v>44763</v>
      </c>
      <c r="X3" s="21">
        <f t="shared" si="1"/>
        <v>44764</v>
      </c>
      <c r="Y3" s="21">
        <f t="shared" si="1"/>
        <v>44765</v>
      </c>
      <c r="Z3" s="21">
        <f t="shared" si="1"/>
        <v>44766</v>
      </c>
      <c r="AA3" s="21">
        <f t="shared" si="1"/>
        <v>44767</v>
      </c>
      <c r="AB3" s="21">
        <f t="shared" si="1"/>
        <v>44768</v>
      </c>
      <c r="AC3" s="21">
        <f t="shared" si="1"/>
        <v>44769</v>
      </c>
      <c r="AD3" s="21">
        <f t="shared" si="1"/>
        <v>44770</v>
      </c>
      <c r="AE3" s="21">
        <f t="shared" si="1"/>
        <v>44771</v>
      </c>
      <c r="AF3" s="21">
        <f t="shared" si="1"/>
        <v>44772</v>
      </c>
      <c r="AG3" s="21">
        <f t="shared" si="1"/>
        <v>44773</v>
      </c>
      <c r="AH3" s="43"/>
      <c r="AI3" s="43"/>
      <c r="AJ3" s="45"/>
      <c r="AK3" s="45"/>
      <c r="AL3" s="45"/>
      <c r="AM3" s="47"/>
    </row>
    <row r="4" spans="1:39" x14ac:dyDescent="0.3">
      <c r="A4" s="3">
        <v>1</v>
      </c>
      <c r="B4" s="3" t="s">
        <v>2</v>
      </c>
      <c r="C4" s="30" t="s">
        <v>85</v>
      </c>
      <c r="D4" s="30" t="s">
        <v>85</v>
      </c>
      <c r="E4" s="30" t="s">
        <v>85</v>
      </c>
      <c r="F4" s="30" t="s">
        <v>83</v>
      </c>
      <c r="G4" s="30" t="s">
        <v>83</v>
      </c>
      <c r="H4" s="30" t="s">
        <v>83</v>
      </c>
      <c r="I4" s="30" t="s">
        <v>83</v>
      </c>
      <c r="J4" s="30" t="s">
        <v>83</v>
      </c>
      <c r="K4" s="30" t="s">
        <v>83</v>
      </c>
      <c r="L4" s="30" t="s">
        <v>83</v>
      </c>
      <c r="M4" s="30" t="s">
        <v>83</v>
      </c>
      <c r="N4" s="30" t="s">
        <v>92</v>
      </c>
      <c r="O4" s="30" t="s">
        <v>92</v>
      </c>
      <c r="P4" s="30" t="s">
        <v>92</v>
      </c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>
        <v>44743</v>
      </c>
      <c r="AI4" s="29">
        <v>44756</v>
      </c>
      <c r="AJ4" s="13">
        <f t="shared" ref="AJ4:AJ63" si="2">COUNTIFS($C$3:$AG$3,"&gt;="&amp;AH4,$C$3:$AG$3,"&lt;="&amp;AI4,C4:AG4,"ح")</f>
        <v>3</v>
      </c>
      <c r="AK4" s="13">
        <f>COUNTIFS($C$3:$AG$3,"&gt;="&amp;AH4,$C$3:$AG$3,"&lt;="&amp;AI4,C4:AG4,"غ")</f>
        <v>3</v>
      </c>
      <c r="AL4" s="13">
        <f>COUNTIFS($C$3:$AG$3,"&gt;="&amp;AH4,$C$3:$AG$3,"&lt;="&amp;AI4,C4:AG4,"م")</f>
        <v>8</v>
      </c>
      <c r="AM4" s="26">
        <f>IF(AH4="",0,1)</f>
        <v>1</v>
      </c>
    </row>
    <row r="5" spans="1:39" x14ac:dyDescent="0.3">
      <c r="A5" s="3">
        <v>2</v>
      </c>
      <c r="B5" s="3" t="s">
        <v>3</v>
      </c>
      <c r="C5" s="30" t="s">
        <v>85</v>
      </c>
      <c r="D5" s="30" t="s">
        <v>85</v>
      </c>
      <c r="E5" s="30" t="s">
        <v>85</v>
      </c>
      <c r="F5" s="30" t="s">
        <v>85</v>
      </c>
      <c r="G5" s="30" t="s">
        <v>85</v>
      </c>
      <c r="H5" s="30" t="s">
        <v>85</v>
      </c>
      <c r="I5" s="30" t="s">
        <v>85</v>
      </c>
      <c r="J5" s="30" t="s">
        <v>83</v>
      </c>
      <c r="K5" s="30" t="s">
        <v>83</v>
      </c>
      <c r="L5" s="30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>
        <v>44743</v>
      </c>
      <c r="AI5" s="29">
        <v>44756</v>
      </c>
      <c r="AJ5" s="13">
        <f t="shared" si="2"/>
        <v>7</v>
      </c>
      <c r="AK5" s="13">
        <f t="shared" ref="AK4:AK63" si="3">COUNTIFS($C$3:$AG$3,"&gt;="&amp;AH5,$C$3:$AG$3,"&lt;="&amp;AI5,C5:AG5,"غ")</f>
        <v>0</v>
      </c>
      <c r="AL5" s="13">
        <f t="shared" ref="AL5:AL68" si="4">COUNTIFS($C$3:$AG$3,"&gt;="&amp;AH5,$C$3:$AG$3,"&lt;="&amp;AI5,C5:AG5,"م")</f>
        <v>7</v>
      </c>
      <c r="AM5" s="26">
        <f t="shared" ref="AM5:AM64" si="5">IF(AH5="",0,1)</f>
        <v>1</v>
      </c>
    </row>
    <row r="6" spans="1:39" x14ac:dyDescent="0.3">
      <c r="A6" s="3">
        <v>3</v>
      </c>
      <c r="B6" s="3" t="s">
        <v>4</v>
      </c>
      <c r="C6" s="30" t="s">
        <v>85</v>
      </c>
      <c r="D6" s="30" t="s">
        <v>85</v>
      </c>
      <c r="E6" s="30" t="s">
        <v>85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83</v>
      </c>
      <c r="K6" s="30" t="s">
        <v>83</v>
      </c>
      <c r="L6" s="30" t="s">
        <v>83</v>
      </c>
      <c r="M6" s="30" t="s">
        <v>83</v>
      </c>
      <c r="N6" s="30" t="s">
        <v>85</v>
      </c>
      <c r="O6" s="30" t="s">
        <v>85</v>
      </c>
      <c r="P6" s="30" t="s">
        <v>85</v>
      </c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>
        <v>44743</v>
      </c>
      <c r="AI6" s="29">
        <v>44756</v>
      </c>
      <c r="AJ6" s="13">
        <f t="shared" si="2"/>
        <v>10</v>
      </c>
      <c r="AK6" s="13">
        <f t="shared" si="3"/>
        <v>0</v>
      </c>
      <c r="AL6" s="13">
        <f t="shared" si="4"/>
        <v>4</v>
      </c>
      <c r="AM6" s="26">
        <f t="shared" si="5"/>
        <v>1</v>
      </c>
    </row>
    <row r="7" spans="1:39" x14ac:dyDescent="0.3">
      <c r="A7" s="3">
        <v>4</v>
      </c>
      <c r="B7" s="3" t="s">
        <v>5</v>
      </c>
      <c r="C7" s="30" t="s">
        <v>85</v>
      </c>
      <c r="D7" s="30" t="s">
        <v>85</v>
      </c>
      <c r="E7" s="30" t="s">
        <v>85</v>
      </c>
      <c r="F7" s="30" t="s">
        <v>85</v>
      </c>
      <c r="G7" s="30" t="s">
        <v>85</v>
      </c>
      <c r="H7" s="30" t="s">
        <v>85</v>
      </c>
      <c r="I7" s="30" t="s">
        <v>85</v>
      </c>
      <c r="J7" s="30" t="s">
        <v>85</v>
      </c>
      <c r="K7" s="30" t="s">
        <v>83</v>
      </c>
      <c r="L7" s="32" t="s">
        <v>83</v>
      </c>
      <c r="M7" s="30" t="s">
        <v>83</v>
      </c>
      <c r="N7" s="30" t="s">
        <v>92</v>
      </c>
      <c r="O7" s="30" t="s">
        <v>92</v>
      </c>
      <c r="P7" s="30" t="s">
        <v>92</v>
      </c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>
        <v>44743</v>
      </c>
      <c r="AI7" s="29">
        <v>44756</v>
      </c>
      <c r="AJ7" s="13">
        <f t="shared" si="2"/>
        <v>8</v>
      </c>
      <c r="AK7" s="13">
        <f t="shared" si="3"/>
        <v>3</v>
      </c>
      <c r="AL7" s="13">
        <f t="shared" si="4"/>
        <v>3</v>
      </c>
      <c r="AM7" s="26">
        <f t="shared" si="5"/>
        <v>1</v>
      </c>
    </row>
    <row r="8" spans="1:39" x14ac:dyDescent="0.3">
      <c r="A8" s="3">
        <v>5</v>
      </c>
      <c r="B8" s="3" t="s">
        <v>6</v>
      </c>
      <c r="C8" s="30" t="s">
        <v>85</v>
      </c>
      <c r="D8" s="30" t="s">
        <v>85</v>
      </c>
      <c r="E8" s="30" t="s">
        <v>85</v>
      </c>
      <c r="F8" s="30" t="s">
        <v>85</v>
      </c>
      <c r="G8" s="30" t="s">
        <v>85</v>
      </c>
      <c r="H8" s="30" t="s">
        <v>85</v>
      </c>
      <c r="I8" s="30" t="s">
        <v>83</v>
      </c>
      <c r="J8" s="30" t="s">
        <v>83</v>
      </c>
      <c r="K8" s="30" t="s">
        <v>83</v>
      </c>
      <c r="L8" s="30" t="s">
        <v>83</v>
      </c>
      <c r="M8" s="30" t="s">
        <v>83</v>
      </c>
      <c r="N8" s="30" t="s">
        <v>85</v>
      </c>
      <c r="O8" s="30" t="s">
        <v>85</v>
      </c>
      <c r="P8" s="30" t="s">
        <v>85</v>
      </c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>
        <v>44743</v>
      </c>
      <c r="AI8" s="29">
        <v>44756</v>
      </c>
      <c r="AJ8" s="13">
        <f t="shared" si="2"/>
        <v>9</v>
      </c>
      <c r="AK8" s="13">
        <f t="shared" si="3"/>
        <v>0</v>
      </c>
      <c r="AL8" s="13">
        <f t="shared" si="4"/>
        <v>5</v>
      </c>
      <c r="AM8" s="26">
        <f t="shared" si="5"/>
        <v>1</v>
      </c>
    </row>
    <row r="9" spans="1:39" s="12" customFormat="1" x14ac:dyDescent="0.3">
      <c r="A9" s="3">
        <v>6</v>
      </c>
      <c r="B9" s="11" t="s">
        <v>7</v>
      </c>
      <c r="C9" s="31" t="s">
        <v>83</v>
      </c>
      <c r="D9" s="31" t="s">
        <v>83</v>
      </c>
      <c r="E9" s="32" t="s">
        <v>85</v>
      </c>
      <c r="F9" s="31" t="s">
        <v>85</v>
      </c>
      <c r="G9" s="31" t="s">
        <v>85</v>
      </c>
      <c r="H9" s="31" t="s">
        <v>85</v>
      </c>
      <c r="I9" s="31" t="s">
        <v>85</v>
      </c>
      <c r="J9" s="31" t="s">
        <v>83</v>
      </c>
      <c r="K9" s="31" t="s">
        <v>85</v>
      </c>
      <c r="L9" s="32" t="s">
        <v>83</v>
      </c>
      <c r="M9" s="31" t="s">
        <v>83</v>
      </c>
      <c r="N9" s="31" t="s">
        <v>85</v>
      </c>
      <c r="O9" s="31" t="s">
        <v>85</v>
      </c>
      <c r="P9" s="31" t="s">
        <v>85</v>
      </c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>
        <v>44743</v>
      </c>
      <c r="AI9" s="29">
        <v>44756</v>
      </c>
      <c r="AJ9" s="13">
        <f t="shared" si="2"/>
        <v>9</v>
      </c>
      <c r="AK9" s="13">
        <f t="shared" si="3"/>
        <v>0</v>
      </c>
      <c r="AL9" s="13">
        <f t="shared" si="4"/>
        <v>5</v>
      </c>
      <c r="AM9" s="26">
        <f t="shared" si="5"/>
        <v>1</v>
      </c>
    </row>
    <row r="10" spans="1:39" x14ac:dyDescent="0.3">
      <c r="A10" s="3">
        <v>7</v>
      </c>
      <c r="B10" s="3" t="s">
        <v>8</v>
      </c>
      <c r="C10" s="30" t="s">
        <v>83</v>
      </c>
      <c r="D10" s="30" t="s">
        <v>83</v>
      </c>
      <c r="E10" s="32" t="s">
        <v>83</v>
      </c>
      <c r="F10" s="30" t="s">
        <v>83</v>
      </c>
      <c r="G10" s="30" t="s">
        <v>85</v>
      </c>
      <c r="H10" s="30" t="s">
        <v>85</v>
      </c>
      <c r="I10" s="30" t="s">
        <v>83</v>
      </c>
      <c r="J10" s="30" t="s">
        <v>83</v>
      </c>
      <c r="K10" s="30" t="s">
        <v>83</v>
      </c>
      <c r="L10" s="30" t="s">
        <v>83</v>
      </c>
      <c r="M10" s="30" t="s">
        <v>83</v>
      </c>
      <c r="N10" s="30" t="s">
        <v>83</v>
      </c>
      <c r="O10" s="30" t="s">
        <v>83</v>
      </c>
      <c r="P10" s="30" t="s">
        <v>85</v>
      </c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>
        <v>44743</v>
      </c>
      <c r="AI10" s="29">
        <v>44756</v>
      </c>
      <c r="AJ10" s="13">
        <f t="shared" si="2"/>
        <v>3</v>
      </c>
      <c r="AK10" s="13">
        <f t="shared" si="3"/>
        <v>0</v>
      </c>
      <c r="AL10" s="13">
        <f t="shared" si="4"/>
        <v>11</v>
      </c>
      <c r="AM10" s="26">
        <f t="shared" si="5"/>
        <v>1</v>
      </c>
    </row>
    <row r="11" spans="1:39" x14ac:dyDescent="0.3">
      <c r="A11" s="3">
        <v>8</v>
      </c>
      <c r="B11" s="3" t="s">
        <v>9</v>
      </c>
      <c r="C11" s="30" t="s">
        <v>85</v>
      </c>
      <c r="D11" s="30" t="s">
        <v>85</v>
      </c>
      <c r="E11" s="30" t="s">
        <v>85</v>
      </c>
      <c r="F11" s="30" t="s">
        <v>85</v>
      </c>
      <c r="G11" s="30" t="s">
        <v>85</v>
      </c>
      <c r="H11" s="30" t="s">
        <v>85</v>
      </c>
      <c r="I11" s="30" t="s">
        <v>85</v>
      </c>
      <c r="J11" s="30" t="s">
        <v>83</v>
      </c>
      <c r="K11" s="30" t="s">
        <v>83</v>
      </c>
      <c r="L11" s="30" t="s">
        <v>83</v>
      </c>
      <c r="M11" s="30" t="s">
        <v>83</v>
      </c>
      <c r="N11" s="30" t="s">
        <v>85</v>
      </c>
      <c r="O11" s="30" t="s">
        <v>85</v>
      </c>
      <c r="P11" s="30" t="s">
        <v>85</v>
      </c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>
        <v>44743</v>
      </c>
      <c r="AI11" s="29">
        <v>44756</v>
      </c>
      <c r="AJ11" s="13">
        <f t="shared" si="2"/>
        <v>10</v>
      </c>
      <c r="AK11" s="13">
        <f t="shared" si="3"/>
        <v>0</v>
      </c>
      <c r="AL11" s="13">
        <f t="shared" si="4"/>
        <v>4</v>
      </c>
      <c r="AM11" s="26">
        <f t="shared" si="5"/>
        <v>1</v>
      </c>
    </row>
    <row r="12" spans="1:39" x14ac:dyDescent="0.3">
      <c r="A12" s="3">
        <v>9</v>
      </c>
      <c r="B12" s="3" t="s">
        <v>10</v>
      </c>
      <c r="C12" s="30" t="s">
        <v>83</v>
      </c>
      <c r="D12" s="30" t="s">
        <v>85</v>
      </c>
      <c r="E12" s="32" t="s">
        <v>85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83</v>
      </c>
      <c r="K12" s="30" t="s">
        <v>85</v>
      </c>
      <c r="L12" s="32" t="s">
        <v>83</v>
      </c>
      <c r="M12" s="30" t="s">
        <v>83</v>
      </c>
      <c r="N12" s="30" t="s">
        <v>85</v>
      </c>
      <c r="O12" s="30" t="s">
        <v>85</v>
      </c>
      <c r="P12" s="30" t="s">
        <v>92</v>
      </c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>
        <v>44743</v>
      </c>
      <c r="AI12" s="29">
        <v>44756</v>
      </c>
      <c r="AJ12" s="13">
        <f t="shared" si="2"/>
        <v>9</v>
      </c>
      <c r="AK12" s="13">
        <f t="shared" si="3"/>
        <v>1</v>
      </c>
      <c r="AL12" s="13">
        <f t="shared" si="4"/>
        <v>4</v>
      </c>
      <c r="AM12" s="26">
        <f t="shared" si="5"/>
        <v>1</v>
      </c>
    </row>
    <row r="13" spans="1:39" x14ac:dyDescent="0.3">
      <c r="A13" s="3">
        <v>10</v>
      </c>
      <c r="B13" s="3" t="s">
        <v>11</v>
      </c>
      <c r="C13" s="30" t="s">
        <v>85</v>
      </c>
      <c r="D13" s="30" t="s">
        <v>85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83</v>
      </c>
      <c r="N13" s="30" t="s">
        <v>85</v>
      </c>
      <c r="O13" s="30" t="s">
        <v>85</v>
      </c>
      <c r="P13" s="30" t="s">
        <v>85</v>
      </c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>
        <v>44743</v>
      </c>
      <c r="AI13" s="29">
        <v>44756</v>
      </c>
      <c r="AJ13" s="13">
        <f t="shared" si="2"/>
        <v>9</v>
      </c>
      <c r="AK13" s="13">
        <f t="shared" si="3"/>
        <v>0</v>
      </c>
      <c r="AL13" s="13">
        <f t="shared" si="4"/>
        <v>5</v>
      </c>
      <c r="AM13" s="26">
        <f t="shared" si="5"/>
        <v>1</v>
      </c>
    </row>
    <row r="14" spans="1:39" x14ac:dyDescent="0.3">
      <c r="A14" s="3">
        <v>11</v>
      </c>
      <c r="B14" s="3" t="s">
        <v>12</v>
      </c>
      <c r="C14" s="30" t="s">
        <v>85</v>
      </c>
      <c r="D14" s="30" t="s">
        <v>85</v>
      </c>
      <c r="E14" s="30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83</v>
      </c>
      <c r="O14" s="30" t="s">
        <v>85</v>
      </c>
      <c r="P14" s="30" t="s">
        <v>85</v>
      </c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>
        <v>44743</v>
      </c>
      <c r="AI14" s="29">
        <v>44756</v>
      </c>
      <c r="AJ14" s="13">
        <f t="shared" si="2"/>
        <v>10</v>
      </c>
      <c r="AK14" s="13">
        <f t="shared" si="3"/>
        <v>0</v>
      </c>
      <c r="AL14" s="13">
        <f t="shared" si="4"/>
        <v>4</v>
      </c>
      <c r="AM14" s="26">
        <f t="shared" si="5"/>
        <v>1</v>
      </c>
    </row>
    <row r="15" spans="1:39" x14ac:dyDescent="0.3">
      <c r="A15" s="3">
        <v>12</v>
      </c>
      <c r="B15" s="3" t="s">
        <v>13</v>
      </c>
      <c r="C15" s="30" t="s">
        <v>85</v>
      </c>
      <c r="D15" s="30" t="s">
        <v>85</v>
      </c>
      <c r="E15" s="30" t="s">
        <v>85</v>
      </c>
      <c r="F15" s="30" t="s">
        <v>85</v>
      </c>
      <c r="G15" s="30" t="s">
        <v>83</v>
      </c>
      <c r="H15" s="30" t="s">
        <v>83</v>
      </c>
      <c r="I15" s="30" t="s">
        <v>83</v>
      </c>
      <c r="J15" s="30" t="s">
        <v>83</v>
      </c>
      <c r="K15" s="30" t="s">
        <v>83</v>
      </c>
      <c r="L15" s="32" t="s">
        <v>83</v>
      </c>
      <c r="M15" s="30" t="s">
        <v>83</v>
      </c>
      <c r="N15" s="30" t="s">
        <v>92</v>
      </c>
      <c r="O15" s="30" t="s">
        <v>92</v>
      </c>
      <c r="P15" s="30" t="s">
        <v>92</v>
      </c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>
        <v>44743</v>
      </c>
      <c r="AI15" s="29">
        <v>44756</v>
      </c>
      <c r="AJ15" s="13">
        <f t="shared" si="2"/>
        <v>4</v>
      </c>
      <c r="AK15" s="13">
        <f t="shared" si="3"/>
        <v>3</v>
      </c>
      <c r="AL15" s="13">
        <f t="shared" si="4"/>
        <v>7</v>
      </c>
      <c r="AM15" s="26">
        <f t="shared" si="5"/>
        <v>1</v>
      </c>
    </row>
    <row r="16" spans="1:39" x14ac:dyDescent="0.3">
      <c r="A16" s="3">
        <v>13</v>
      </c>
      <c r="B16" s="3" t="s">
        <v>101</v>
      </c>
      <c r="C16" s="30" t="s">
        <v>83</v>
      </c>
      <c r="D16" s="30" t="s">
        <v>83</v>
      </c>
      <c r="E16" s="30" t="s">
        <v>83</v>
      </c>
      <c r="F16" s="30" t="s">
        <v>83</v>
      </c>
      <c r="G16" s="30" t="s">
        <v>83</v>
      </c>
      <c r="H16" s="30" t="s">
        <v>83</v>
      </c>
      <c r="I16" s="30" t="s">
        <v>83</v>
      </c>
      <c r="J16" s="30" t="s">
        <v>83</v>
      </c>
      <c r="K16" s="30" t="s">
        <v>83</v>
      </c>
      <c r="L16" s="30" t="s">
        <v>83</v>
      </c>
      <c r="M16" s="30" t="s">
        <v>83</v>
      </c>
      <c r="N16" s="30" t="s">
        <v>92</v>
      </c>
      <c r="O16" s="30" t="s">
        <v>92</v>
      </c>
      <c r="P16" s="30" t="s">
        <v>92</v>
      </c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>
        <v>44743</v>
      </c>
      <c r="AI16" s="29">
        <v>44756</v>
      </c>
      <c r="AJ16" s="13">
        <f t="shared" si="2"/>
        <v>0</v>
      </c>
      <c r="AK16" s="13">
        <f t="shared" si="3"/>
        <v>3</v>
      </c>
      <c r="AL16" s="13">
        <f t="shared" si="4"/>
        <v>11</v>
      </c>
      <c r="AM16" s="26">
        <f t="shared" si="5"/>
        <v>1</v>
      </c>
    </row>
    <row r="17" spans="1:39" x14ac:dyDescent="0.3">
      <c r="A17" s="3">
        <v>14</v>
      </c>
      <c r="B17" s="3" t="s">
        <v>14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0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>
        <v>44743</v>
      </c>
      <c r="AI17" s="29">
        <v>44756</v>
      </c>
      <c r="AJ17" s="13">
        <f t="shared" si="2"/>
        <v>11</v>
      </c>
      <c r="AK17" s="13">
        <f t="shared" si="3"/>
        <v>0</v>
      </c>
      <c r="AL17" s="13">
        <f t="shared" si="4"/>
        <v>3</v>
      </c>
      <c r="AM17" s="26">
        <f t="shared" si="5"/>
        <v>1</v>
      </c>
    </row>
    <row r="18" spans="1:39" x14ac:dyDescent="0.3">
      <c r="A18" s="3">
        <v>15</v>
      </c>
      <c r="B18" s="3" t="s">
        <v>15</v>
      </c>
      <c r="C18" s="30" t="s">
        <v>85</v>
      </c>
      <c r="D18" s="30" t="s">
        <v>85</v>
      </c>
      <c r="E18" s="30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83</v>
      </c>
      <c r="M18" s="30" t="s">
        <v>83</v>
      </c>
      <c r="N18" s="30" t="s">
        <v>92</v>
      </c>
      <c r="O18" s="30" t="s">
        <v>85</v>
      </c>
      <c r="P18" s="30" t="s">
        <v>85</v>
      </c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>
        <v>44743</v>
      </c>
      <c r="AI18" s="29">
        <v>44756</v>
      </c>
      <c r="AJ18" s="13">
        <f t="shared" si="2"/>
        <v>11</v>
      </c>
      <c r="AK18" s="13">
        <f t="shared" si="3"/>
        <v>1</v>
      </c>
      <c r="AL18" s="13">
        <f t="shared" si="4"/>
        <v>2</v>
      </c>
      <c r="AM18" s="26">
        <f t="shared" si="5"/>
        <v>1</v>
      </c>
    </row>
    <row r="19" spans="1:39" x14ac:dyDescent="0.3">
      <c r="A19" s="3">
        <v>16</v>
      </c>
      <c r="B19" s="3" t="s">
        <v>16</v>
      </c>
      <c r="C19" s="30" t="s">
        <v>83</v>
      </c>
      <c r="D19" s="30" t="s">
        <v>85</v>
      </c>
      <c r="E19" s="32" t="s">
        <v>85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83</v>
      </c>
      <c r="K19" s="30" t="s">
        <v>83</v>
      </c>
      <c r="L19" s="32" t="s">
        <v>83</v>
      </c>
      <c r="M19" s="30" t="s">
        <v>83</v>
      </c>
      <c r="N19" s="30" t="s">
        <v>85</v>
      </c>
      <c r="O19" s="30" t="s">
        <v>85</v>
      </c>
      <c r="P19" s="30" t="s">
        <v>85</v>
      </c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>
        <v>44743</v>
      </c>
      <c r="AI19" s="29">
        <v>44756</v>
      </c>
      <c r="AJ19" s="13">
        <f t="shared" si="2"/>
        <v>9</v>
      </c>
      <c r="AK19" s="13">
        <f t="shared" si="3"/>
        <v>0</v>
      </c>
      <c r="AL19" s="13">
        <f t="shared" si="4"/>
        <v>5</v>
      </c>
      <c r="AM19" s="26">
        <f t="shared" si="5"/>
        <v>1</v>
      </c>
    </row>
    <row r="20" spans="1:39" x14ac:dyDescent="0.3">
      <c r="A20" s="3">
        <v>17</v>
      </c>
      <c r="B20" s="3" t="s">
        <v>102</v>
      </c>
      <c r="C20" s="30" t="s">
        <v>85</v>
      </c>
      <c r="D20" s="30" t="s">
        <v>85</v>
      </c>
      <c r="E20" s="30" t="s">
        <v>85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0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>
        <v>44743</v>
      </c>
      <c r="AI20" s="29">
        <v>44756</v>
      </c>
      <c r="AJ20" s="13">
        <f t="shared" si="2"/>
        <v>14</v>
      </c>
      <c r="AK20" s="13">
        <f t="shared" si="3"/>
        <v>0</v>
      </c>
      <c r="AL20" s="13">
        <f t="shared" si="4"/>
        <v>0</v>
      </c>
      <c r="AM20" s="26">
        <f t="shared" si="5"/>
        <v>1</v>
      </c>
    </row>
    <row r="21" spans="1:39" x14ac:dyDescent="0.3">
      <c r="A21" s="3">
        <v>18</v>
      </c>
      <c r="B21" s="3" t="s">
        <v>17</v>
      </c>
      <c r="C21" s="30" t="s">
        <v>85</v>
      </c>
      <c r="D21" s="30" t="s">
        <v>85</v>
      </c>
      <c r="E21" s="30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0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>
        <v>44743</v>
      </c>
      <c r="AI21" s="29">
        <v>44756</v>
      </c>
      <c r="AJ21" s="13">
        <f t="shared" si="2"/>
        <v>14</v>
      </c>
      <c r="AK21" s="13">
        <f t="shared" si="3"/>
        <v>0</v>
      </c>
      <c r="AL21" s="13">
        <f t="shared" si="4"/>
        <v>0</v>
      </c>
      <c r="AM21" s="26">
        <f t="shared" si="5"/>
        <v>1</v>
      </c>
    </row>
    <row r="22" spans="1:39" x14ac:dyDescent="0.3">
      <c r="A22" s="3">
        <v>19</v>
      </c>
      <c r="B22" s="3" t="s">
        <v>18</v>
      </c>
      <c r="C22" s="30" t="s">
        <v>85</v>
      </c>
      <c r="D22" s="30" t="s">
        <v>85</v>
      </c>
      <c r="E22" s="30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0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>
        <v>44743</v>
      </c>
      <c r="AI22" s="29">
        <v>44756</v>
      </c>
      <c r="AJ22" s="13">
        <f t="shared" si="2"/>
        <v>14</v>
      </c>
      <c r="AK22" s="13">
        <f t="shared" si="3"/>
        <v>0</v>
      </c>
      <c r="AL22" s="13">
        <f t="shared" si="4"/>
        <v>0</v>
      </c>
      <c r="AM22" s="26">
        <f t="shared" si="5"/>
        <v>1</v>
      </c>
    </row>
    <row r="23" spans="1:39" x14ac:dyDescent="0.3">
      <c r="A23" s="3">
        <v>20</v>
      </c>
      <c r="B23" s="3" t="s">
        <v>19</v>
      </c>
      <c r="C23" s="30" t="s">
        <v>85</v>
      </c>
      <c r="D23" s="30" t="s">
        <v>85</v>
      </c>
      <c r="E23" s="30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0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>
        <v>44743</v>
      </c>
      <c r="AI23" s="29">
        <v>44756</v>
      </c>
      <c r="AJ23" s="13">
        <f t="shared" si="2"/>
        <v>14</v>
      </c>
      <c r="AK23" s="13">
        <f t="shared" si="3"/>
        <v>0</v>
      </c>
      <c r="AL23" s="13">
        <f t="shared" si="4"/>
        <v>0</v>
      </c>
      <c r="AM23" s="26">
        <f t="shared" si="5"/>
        <v>1</v>
      </c>
    </row>
    <row r="24" spans="1:39" x14ac:dyDescent="0.3">
      <c r="A24" s="3">
        <v>21</v>
      </c>
      <c r="B24" s="3" t="s">
        <v>20</v>
      </c>
      <c r="C24" s="30" t="s">
        <v>85</v>
      </c>
      <c r="D24" s="30" t="s">
        <v>85</v>
      </c>
      <c r="E24" s="32" t="s">
        <v>85</v>
      </c>
      <c r="F24" s="30" t="s">
        <v>85</v>
      </c>
      <c r="G24" s="30" t="s">
        <v>85</v>
      </c>
      <c r="H24" s="30" t="s">
        <v>85</v>
      </c>
      <c r="I24" s="30" t="s">
        <v>85</v>
      </c>
      <c r="J24" s="30" t="s">
        <v>83</v>
      </c>
      <c r="K24" s="30" t="s">
        <v>85</v>
      </c>
      <c r="L24" s="32" t="s">
        <v>83</v>
      </c>
      <c r="M24" s="30" t="s">
        <v>83</v>
      </c>
      <c r="N24" s="30" t="s">
        <v>92</v>
      </c>
      <c r="O24" s="30" t="s">
        <v>92</v>
      </c>
      <c r="P24" s="30" t="s">
        <v>85</v>
      </c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>
        <v>44743</v>
      </c>
      <c r="AI24" s="29">
        <v>44756</v>
      </c>
      <c r="AJ24" s="13">
        <f t="shared" si="2"/>
        <v>9</v>
      </c>
      <c r="AK24" s="13">
        <f t="shared" si="3"/>
        <v>2</v>
      </c>
      <c r="AL24" s="13">
        <f t="shared" si="4"/>
        <v>3</v>
      </c>
      <c r="AM24" s="26">
        <f t="shared" si="5"/>
        <v>1</v>
      </c>
    </row>
    <row r="25" spans="1:39" x14ac:dyDescent="0.3">
      <c r="A25" s="3">
        <v>22</v>
      </c>
      <c r="B25" s="3" t="s">
        <v>21</v>
      </c>
      <c r="C25" s="30" t="s">
        <v>83</v>
      </c>
      <c r="D25" s="30" t="s">
        <v>85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83</v>
      </c>
      <c r="K25" s="30" t="s">
        <v>83</v>
      </c>
      <c r="L25" s="32" t="s">
        <v>83</v>
      </c>
      <c r="M25" s="30" t="s">
        <v>85</v>
      </c>
      <c r="N25" s="30" t="s">
        <v>85</v>
      </c>
      <c r="O25" s="30" t="s">
        <v>85</v>
      </c>
      <c r="P25" s="30" t="s">
        <v>85</v>
      </c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>
        <v>44743</v>
      </c>
      <c r="AI25" s="29">
        <v>44756</v>
      </c>
      <c r="AJ25" s="13">
        <f t="shared" si="2"/>
        <v>10</v>
      </c>
      <c r="AK25" s="13">
        <f t="shared" si="3"/>
        <v>0</v>
      </c>
      <c r="AL25" s="13">
        <f t="shared" si="4"/>
        <v>4</v>
      </c>
      <c r="AM25" s="26">
        <f t="shared" si="5"/>
        <v>1</v>
      </c>
    </row>
    <row r="26" spans="1:39" x14ac:dyDescent="0.3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0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>
        <v>44743</v>
      </c>
      <c r="AI26" s="29">
        <v>44756</v>
      </c>
      <c r="AJ26" s="13">
        <f t="shared" si="2"/>
        <v>10</v>
      </c>
      <c r="AK26" s="13">
        <f t="shared" si="3"/>
        <v>0</v>
      </c>
      <c r="AL26" s="13">
        <f t="shared" si="4"/>
        <v>4</v>
      </c>
      <c r="AM26" s="26">
        <f t="shared" si="5"/>
        <v>1</v>
      </c>
    </row>
    <row r="27" spans="1:39" x14ac:dyDescent="0.3">
      <c r="A27" s="3">
        <v>24</v>
      </c>
      <c r="B27" s="3" t="s">
        <v>23</v>
      </c>
      <c r="C27" s="30" t="s">
        <v>85</v>
      </c>
      <c r="D27" s="30" t="s">
        <v>85</v>
      </c>
      <c r="E27" s="32" t="s">
        <v>85</v>
      </c>
      <c r="F27" s="30" t="s">
        <v>85</v>
      </c>
      <c r="G27" s="30" t="s">
        <v>85</v>
      </c>
      <c r="H27" s="30" t="s">
        <v>85</v>
      </c>
      <c r="I27" s="30" t="s">
        <v>85</v>
      </c>
      <c r="J27" s="30" t="s">
        <v>85</v>
      </c>
      <c r="K27" s="30" t="s">
        <v>83</v>
      </c>
      <c r="L27" s="32" t="s">
        <v>83</v>
      </c>
      <c r="M27" s="30" t="s">
        <v>83</v>
      </c>
      <c r="N27" s="30" t="s">
        <v>85</v>
      </c>
      <c r="O27" s="30" t="s">
        <v>85</v>
      </c>
      <c r="P27" s="30" t="s">
        <v>85</v>
      </c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>
        <v>44743</v>
      </c>
      <c r="AI27" s="29">
        <v>44756</v>
      </c>
      <c r="AJ27" s="13">
        <f t="shared" si="2"/>
        <v>11</v>
      </c>
      <c r="AK27" s="13">
        <f t="shared" si="3"/>
        <v>0</v>
      </c>
      <c r="AL27" s="13">
        <f t="shared" si="4"/>
        <v>3</v>
      </c>
      <c r="AM27" s="26">
        <f t="shared" si="5"/>
        <v>1</v>
      </c>
    </row>
    <row r="28" spans="1:39" x14ac:dyDescent="0.3">
      <c r="A28" s="3">
        <v>25</v>
      </c>
      <c r="B28" s="3" t="s">
        <v>24</v>
      </c>
      <c r="C28" s="30" t="s">
        <v>85</v>
      </c>
      <c r="D28" s="30" t="s">
        <v>85</v>
      </c>
      <c r="E28" s="30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0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>
        <v>44743</v>
      </c>
      <c r="AI28" s="29">
        <v>44756</v>
      </c>
      <c r="AJ28" s="13">
        <f t="shared" si="2"/>
        <v>14</v>
      </c>
      <c r="AK28" s="13">
        <f t="shared" si="3"/>
        <v>0</v>
      </c>
      <c r="AL28" s="13">
        <f t="shared" si="4"/>
        <v>0</v>
      </c>
      <c r="AM28" s="26">
        <f t="shared" si="5"/>
        <v>1</v>
      </c>
    </row>
    <row r="29" spans="1:39" x14ac:dyDescent="0.3">
      <c r="A29" s="3">
        <v>26</v>
      </c>
      <c r="B29" s="3" t="s">
        <v>25</v>
      </c>
      <c r="C29" s="30" t="s">
        <v>85</v>
      </c>
      <c r="D29" s="30" t="s">
        <v>85</v>
      </c>
      <c r="E29" s="30" t="s">
        <v>85</v>
      </c>
      <c r="F29" s="30" t="s">
        <v>85</v>
      </c>
      <c r="G29" s="30" t="s">
        <v>85</v>
      </c>
      <c r="H29" s="30" t="s">
        <v>85</v>
      </c>
      <c r="I29" s="54" t="s">
        <v>93</v>
      </c>
      <c r="J29" s="55"/>
      <c r="K29" s="55"/>
      <c r="L29" s="55"/>
      <c r="M29" s="55"/>
      <c r="N29" s="55"/>
      <c r="O29" s="55"/>
      <c r="P29" s="56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>
        <v>44743</v>
      </c>
      <c r="AI29" s="29">
        <v>44756</v>
      </c>
      <c r="AJ29" s="13">
        <f t="shared" si="2"/>
        <v>6</v>
      </c>
      <c r="AK29" s="13">
        <f t="shared" si="3"/>
        <v>0</v>
      </c>
      <c r="AL29" s="13">
        <f t="shared" si="4"/>
        <v>0</v>
      </c>
      <c r="AM29" s="26">
        <f t="shared" si="5"/>
        <v>1</v>
      </c>
    </row>
    <row r="30" spans="1:39" x14ac:dyDescent="0.3">
      <c r="A30" s="3">
        <v>27</v>
      </c>
      <c r="B30" s="3" t="s">
        <v>27</v>
      </c>
      <c r="C30" s="30" t="s">
        <v>85</v>
      </c>
      <c r="D30" s="30" t="s">
        <v>85</v>
      </c>
      <c r="E30" s="32" t="s">
        <v>85</v>
      </c>
      <c r="F30" s="30" t="s">
        <v>85</v>
      </c>
      <c r="G30" s="30" t="s">
        <v>85</v>
      </c>
      <c r="H30" s="30" t="s">
        <v>85</v>
      </c>
      <c r="I30" s="30" t="s">
        <v>85</v>
      </c>
      <c r="J30" s="30" t="s">
        <v>85</v>
      </c>
      <c r="K30" s="30" t="s">
        <v>85</v>
      </c>
      <c r="L30" s="30" t="s">
        <v>85</v>
      </c>
      <c r="M30" s="30" t="s">
        <v>85</v>
      </c>
      <c r="N30" s="30" t="s">
        <v>85</v>
      </c>
      <c r="O30" s="30" t="s">
        <v>85</v>
      </c>
      <c r="P30" s="30" t="s">
        <v>85</v>
      </c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>
        <v>44743</v>
      </c>
      <c r="AI30" s="29">
        <v>44756</v>
      </c>
      <c r="AJ30" s="13">
        <f t="shared" si="2"/>
        <v>14</v>
      </c>
      <c r="AK30" s="13">
        <f t="shared" si="3"/>
        <v>0</v>
      </c>
      <c r="AL30" s="13">
        <f t="shared" si="4"/>
        <v>0</v>
      </c>
      <c r="AM30" s="26">
        <f t="shared" si="5"/>
        <v>1</v>
      </c>
    </row>
    <row r="31" spans="1:39" x14ac:dyDescent="0.3">
      <c r="A31" s="3">
        <v>28</v>
      </c>
      <c r="B31" s="3" t="s">
        <v>28</v>
      </c>
      <c r="C31" s="30" t="s">
        <v>85</v>
      </c>
      <c r="D31" s="30" t="s">
        <v>85</v>
      </c>
      <c r="E31" s="32" t="s">
        <v>85</v>
      </c>
      <c r="F31" s="30" t="s">
        <v>83</v>
      </c>
      <c r="G31" s="30" t="s">
        <v>83</v>
      </c>
      <c r="H31" s="30" t="s">
        <v>83</v>
      </c>
      <c r="I31" s="30" t="s">
        <v>83</v>
      </c>
      <c r="J31" s="30" t="s">
        <v>83</v>
      </c>
      <c r="K31" s="30" t="s">
        <v>83</v>
      </c>
      <c r="L31" s="32" t="s">
        <v>83</v>
      </c>
      <c r="M31" s="30" t="s">
        <v>83</v>
      </c>
      <c r="N31" s="30" t="s">
        <v>83</v>
      </c>
      <c r="O31" s="30" t="s">
        <v>85</v>
      </c>
      <c r="P31" s="30" t="s">
        <v>85</v>
      </c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>
        <v>44743</v>
      </c>
      <c r="AI31" s="29">
        <v>44756</v>
      </c>
      <c r="AJ31" s="13">
        <f t="shared" si="2"/>
        <v>5</v>
      </c>
      <c r="AK31" s="13">
        <f t="shared" si="3"/>
        <v>0</v>
      </c>
      <c r="AL31" s="13">
        <f t="shared" si="4"/>
        <v>9</v>
      </c>
      <c r="AM31" s="26">
        <f t="shared" si="5"/>
        <v>1</v>
      </c>
    </row>
    <row r="32" spans="1:39" x14ac:dyDescent="0.3">
      <c r="A32" s="3">
        <v>29</v>
      </c>
      <c r="B32" s="3" t="s">
        <v>29</v>
      </c>
      <c r="C32" s="30" t="s">
        <v>85</v>
      </c>
      <c r="D32" s="30" t="s">
        <v>85</v>
      </c>
      <c r="E32" s="32" t="s">
        <v>85</v>
      </c>
      <c r="F32" s="30" t="s">
        <v>85</v>
      </c>
      <c r="G32" s="30" t="s">
        <v>85</v>
      </c>
      <c r="H32" s="30" t="s">
        <v>136</v>
      </c>
      <c r="I32" s="30" t="s">
        <v>85</v>
      </c>
      <c r="J32" s="30" t="s">
        <v>83</v>
      </c>
      <c r="K32" s="30" t="s">
        <v>83</v>
      </c>
      <c r="L32" s="32" t="s">
        <v>83</v>
      </c>
      <c r="M32" s="30" t="s">
        <v>83</v>
      </c>
      <c r="N32" s="30" t="s">
        <v>85</v>
      </c>
      <c r="O32" s="30" t="s">
        <v>85</v>
      </c>
      <c r="P32" s="30" t="s">
        <v>85</v>
      </c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>
        <v>44743</v>
      </c>
      <c r="AI32" s="29">
        <v>44756</v>
      </c>
      <c r="AJ32" s="13">
        <f t="shared" si="2"/>
        <v>9</v>
      </c>
      <c r="AK32" s="13">
        <f t="shared" si="3"/>
        <v>0</v>
      </c>
      <c r="AL32" s="13">
        <f t="shared" si="4"/>
        <v>4</v>
      </c>
      <c r="AM32" s="26">
        <f t="shared" si="5"/>
        <v>1</v>
      </c>
    </row>
    <row r="33" spans="1:39" x14ac:dyDescent="0.3">
      <c r="A33" s="3">
        <v>30</v>
      </c>
      <c r="B33" s="3" t="s">
        <v>30</v>
      </c>
      <c r="C33" s="30" t="s">
        <v>85</v>
      </c>
      <c r="D33" s="30" t="s">
        <v>85</v>
      </c>
      <c r="E33" s="32" t="s">
        <v>85</v>
      </c>
      <c r="F33" s="30" t="s">
        <v>83</v>
      </c>
      <c r="G33" s="30" t="s">
        <v>83</v>
      </c>
      <c r="H33" s="30" t="s">
        <v>83</v>
      </c>
      <c r="I33" s="30" t="s">
        <v>83</v>
      </c>
      <c r="J33" s="30" t="s">
        <v>83</v>
      </c>
      <c r="K33" s="30" t="s">
        <v>83</v>
      </c>
      <c r="L33" s="32" t="s">
        <v>83</v>
      </c>
      <c r="M33" s="30" t="s">
        <v>83</v>
      </c>
      <c r="N33" s="30" t="s">
        <v>85</v>
      </c>
      <c r="O33" s="30" t="s">
        <v>85</v>
      </c>
      <c r="P33" s="30" t="s">
        <v>85</v>
      </c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>
        <v>44743</v>
      </c>
      <c r="AI33" s="29">
        <v>44756</v>
      </c>
      <c r="AJ33" s="13">
        <f t="shared" si="2"/>
        <v>6</v>
      </c>
      <c r="AK33" s="13">
        <f t="shared" si="3"/>
        <v>0</v>
      </c>
      <c r="AL33" s="13">
        <f t="shared" si="4"/>
        <v>8</v>
      </c>
      <c r="AM33" s="26">
        <f t="shared" si="5"/>
        <v>1</v>
      </c>
    </row>
    <row r="34" spans="1:39" s="2" customFormat="1" x14ac:dyDescent="0.3">
      <c r="A34" s="3">
        <v>31</v>
      </c>
      <c r="B34" s="3" t="s">
        <v>32</v>
      </c>
      <c r="C34" s="30" t="s">
        <v>85</v>
      </c>
      <c r="D34" s="30" t="s">
        <v>85</v>
      </c>
      <c r="E34" s="32" t="s">
        <v>85</v>
      </c>
      <c r="F34" s="30" t="s">
        <v>85</v>
      </c>
      <c r="G34" s="30" t="s">
        <v>85</v>
      </c>
      <c r="H34" s="30" t="s">
        <v>85</v>
      </c>
      <c r="I34" s="30" t="s">
        <v>85</v>
      </c>
      <c r="J34" s="30" t="s">
        <v>85</v>
      </c>
      <c r="K34" s="30" t="s">
        <v>83</v>
      </c>
      <c r="L34" s="32" t="s">
        <v>83</v>
      </c>
      <c r="M34" s="30" t="s">
        <v>83</v>
      </c>
      <c r="N34" s="30" t="s">
        <v>83</v>
      </c>
      <c r="O34" s="30" t="s">
        <v>85</v>
      </c>
      <c r="P34" s="30" t="s">
        <v>85</v>
      </c>
      <c r="Q34" s="30"/>
      <c r="R34" s="30"/>
      <c r="S34" s="32"/>
      <c r="T34" s="30"/>
      <c r="U34" s="30"/>
      <c r="V34" s="30"/>
      <c r="W34" s="30"/>
      <c r="X34" s="30"/>
      <c r="Y34" s="32"/>
      <c r="Z34" s="32"/>
      <c r="AA34" s="32"/>
      <c r="AB34" s="32"/>
      <c r="AC34" s="32"/>
      <c r="AD34" s="32"/>
      <c r="AE34" s="32"/>
      <c r="AF34" s="32"/>
      <c r="AG34" s="32"/>
      <c r="AH34" s="28">
        <v>44743</v>
      </c>
      <c r="AI34" s="29">
        <v>44756</v>
      </c>
      <c r="AJ34" s="13">
        <f t="shared" si="2"/>
        <v>10</v>
      </c>
      <c r="AK34" s="13">
        <f t="shared" si="3"/>
        <v>0</v>
      </c>
      <c r="AL34" s="13">
        <f t="shared" si="4"/>
        <v>4</v>
      </c>
      <c r="AM34" s="26">
        <f t="shared" si="5"/>
        <v>1</v>
      </c>
    </row>
    <row r="35" spans="1:39" x14ac:dyDescent="0.3">
      <c r="A35" s="3">
        <v>32</v>
      </c>
      <c r="B35" s="40" t="s">
        <v>33</v>
      </c>
      <c r="C35" s="30" t="s">
        <v>83</v>
      </c>
      <c r="D35" s="30" t="s">
        <v>83</v>
      </c>
      <c r="E35" s="32" t="s">
        <v>83</v>
      </c>
      <c r="F35" s="30" t="s">
        <v>136</v>
      </c>
      <c r="G35" s="30" t="s">
        <v>136</v>
      </c>
      <c r="H35" s="30" t="s">
        <v>85</v>
      </c>
      <c r="I35" s="30" t="s">
        <v>85</v>
      </c>
      <c r="J35" s="30" t="s">
        <v>85</v>
      </c>
      <c r="K35" s="30" t="s">
        <v>85</v>
      </c>
      <c r="L35" s="30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/>
      <c r="R35" s="30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>
        <v>44743</v>
      </c>
      <c r="AI35" s="29">
        <v>44756</v>
      </c>
      <c r="AJ35" s="13">
        <f t="shared" si="2"/>
        <v>9</v>
      </c>
      <c r="AK35" s="13">
        <f t="shared" si="3"/>
        <v>0</v>
      </c>
      <c r="AL35" s="13">
        <f t="shared" si="4"/>
        <v>3</v>
      </c>
      <c r="AM35" s="26">
        <f t="shared" si="5"/>
        <v>1</v>
      </c>
    </row>
    <row r="36" spans="1:39" x14ac:dyDescent="0.3">
      <c r="A36" s="3">
        <v>33</v>
      </c>
      <c r="B36" s="40" t="s">
        <v>34</v>
      </c>
      <c r="C36" s="30" t="s">
        <v>85</v>
      </c>
      <c r="D36" s="30" t="s">
        <v>85</v>
      </c>
      <c r="E36" s="32" t="s">
        <v>85</v>
      </c>
      <c r="F36" s="30" t="s">
        <v>85</v>
      </c>
      <c r="G36" s="30" t="s">
        <v>85</v>
      </c>
      <c r="H36" s="30" t="s">
        <v>85</v>
      </c>
      <c r="I36" s="30" t="s">
        <v>85</v>
      </c>
      <c r="J36" s="30" t="s">
        <v>85</v>
      </c>
      <c r="K36" s="30" t="s">
        <v>83</v>
      </c>
      <c r="L36" s="30" t="s">
        <v>83</v>
      </c>
      <c r="M36" s="30" t="s">
        <v>83</v>
      </c>
      <c r="N36" s="30" t="s">
        <v>83</v>
      </c>
      <c r="O36" s="30" t="s">
        <v>83</v>
      </c>
      <c r="P36" s="30" t="s">
        <v>85</v>
      </c>
      <c r="Q36" s="30"/>
      <c r="R36" s="30"/>
      <c r="S36" s="32"/>
      <c r="T36" s="30"/>
      <c r="U36" s="30"/>
      <c r="V36" s="30"/>
      <c r="W36" s="30"/>
      <c r="X36" s="30"/>
      <c r="Y36" s="30"/>
      <c r="Z36" s="32"/>
      <c r="AA36" s="30"/>
      <c r="AB36" s="30"/>
      <c r="AC36" s="30"/>
      <c r="AD36" s="30"/>
      <c r="AE36" s="30"/>
      <c r="AF36" s="30"/>
      <c r="AG36" s="30"/>
      <c r="AH36" s="28">
        <v>44743</v>
      </c>
      <c r="AI36" s="29">
        <v>44756</v>
      </c>
      <c r="AJ36" s="13">
        <f t="shared" si="2"/>
        <v>9</v>
      </c>
      <c r="AK36" s="13">
        <f t="shared" si="3"/>
        <v>0</v>
      </c>
      <c r="AL36" s="13">
        <f t="shared" si="4"/>
        <v>5</v>
      </c>
      <c r="AM36" s="26">
        <f t="shared" si="5"/>
        <v>1</v>
      </c>
    </row>
    <row r="37" spans="1:39" x14ac:dyDescent="0.3">
      <c r="A37" s="3">
        <v>34</v>
      </c>
      <c r="B37" s="3" t="s">
        <v>35</v>
      </c>
      <c r="C37" s="30" t="s">
        <v>85</v>
      </c>
      <c r="D37" s="30" t="s">
        <v>85</v>
      </c>
      <c r="E37" s="32" t="s">
        <v>85</v>
      </c>
      <c r="F37" s="30" t="s">
        <v>85</v>
      </c>
      <c r="G37" s="30" t="s">
        <v>85</v>
      </c>
      <c r="H37" s="30" t="s">
        <v>136</v>
      </c>
      <c r="I37" s="30" t="s">
        <v>136</v>
      </c>
      <c r="J37" s="30" t="s">
        <v>136</v>
      </c>
      <c r="K37" s="30" t="s">
        <v>136</v>
      </c>
      <c r="L37" s="32" t="s">
        <v>83</v>
      </c>
      <c r="M37" s="30" t="s">
        <v>83</v>
      </c>
      <c r="N37" s="30" t="s">
        <v>136</v>
      </c>
      <c r="O37" s="30" t="s">
        <v>136</v>
      </c>
      <c r="P37" s="30" t="s">
        <v>136</v>
      </c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>
        <v>44743</v>
      </c>
      <c r="AI37" s="29">
        <v>44756</v>
      </c>
      <c r="AJ37" s="13">
        <f t="shared" si="2"/>
        <v>5</v>
      </c>
      <c r="AK37" s="13">
        <f t="shared" si="3"/>
        <v>0</v>
      </c>
      <c r="AL37" s="13">
        <f t="shared" si="4"/>
        <v>2</v>
      </c>
      <c r="AM37" s="26">
        <f t="shared" si="5"/>
        <v>1</v>
      </c>
    </row>
    <row r="38" spans="1:39" s="17" customFormat="1" x14ac:dyDescent="0.3">
      <c r="A38" s="3">
        <v>35</v>
      </c>
      <c r="B38" s="16" t="s">
        <v>123</v>
      </c>
      <c r="C38" s="30" t="s">
        <v>85</v>
      </c>
      <c r="D38" s="30" t="s">
        <v>85</v>
      </c>
      <c r="E38" s="32" t="s">
        <v>85</v>
      </c>
      <c r="F38" s="30" t="s">
        <v>85</v>
      </c>
      <c r="G38" s="30" t="s">
        <v>85</v>
      </c>
      <c r="H38" s="30" t="s">
        <v>85</v>
      </c>
      <c r="I38" s="30" t="s">
        <v>85</v>
      </c>
      <c r="J38" s="30" t="s">
        <v>85</v>
      </c>
      <c r="K38" s="30" t="s">
        <v>83</v>
      </c>
      <c r="L38" s="30" t="s">
        <v>83</v>
      </c>
      <c r="M38" s="30" t="s">
        <v>83</v>
      </c>
      <c r="N38" s="30" t="s">
        <v>83</v>
      </c>
      <c r="O38" s="30" t="s">
        <v>83</v>
      </c>
      <c r="P38" s="30" t="s">
        <v>83</v>
      </c>
      <c r="Q38" s="30"/>
      <c r="R38" s="30"/>
      <c r="S38" s="32"/>
      <c r="T38" s="30"/>
      <c r="U38" s="30"/>
      <c r="V38" s="30"/>
      <c r="W38" s="30"/>
      <c r="X38" s="30"/>
      <c r="Y38" s="33"/>
      <c r="Z38" s="32"/>
      <c r="AA38" s="33"/>
      <c r="AB38" s="33"/>
      <c r="AC38" s="33"/>
      <c r="AD38" s="33"/>
      <c r="AE38" s="33"/>
      <c r="AF38" s="33"/>
      <c r="AG38" s="33"/>
      <c r="AH38" s="28">
        <v>44743</v>
      </c>
      <c r="AI38" s="29">
        <v>44756</v>
      </c>
      <c r="AJ38" s="13">
        <f t="shared" si="2"/>
        <v>8</v>
      </c>
      <c r="AK38" s="13">
        <f t="shared" si="3"/>
        <v>0</v>
      </c>
      <c r="AL38" s="13">
        <f t="shared" si="4"/>
        <v>6</v>
      </c>
      <c r="AM38" s="26">
        <f t="shared" si="5"/>
        <v>1</v>
      </c>
    </row>
    <row r="39" spans="1:39" x14ac:dyDescent="0.3">
      <c r="A39" s="3">
        <v>36</v>
      </c>
      <c r="B39" s="3" t="s">
        <v>37</v>
      </c>
      <c r="C39" s="30" t="s">
        <v>85</v>
      </c>
      <c r="D39" s="30" t="s">
        <v>85</v>
      </c>
      <c r="E39" s="32" t="s">
        <v>83</v>
      </c>
      <c r="F39" s="30" t="s">
        <v>83</v>
      </c>
      <c r="G39" s="30" t="s">
        <v>83</v>
      </c>
      <c r="H39" s="30" t="s">
        <v>83</v>
      </c>
      <c r="I39" s="30" t="s">
        <v>83</v>
      </c>
      <c r="J39" s="30" t="s">
        <v>83</v>
      </c>
      <c r="K39" s="30" t="s">
        <v>83</v>
      </c>
      <c r="L39" s="32" t="s">
        <v>83</v>
      </c>
      <c r="M39" s="30" t="s">
        <v>83</v>
      </c>
      <c r="N39" s="30" t="s">
        <v>92</v>
      </c>
      <c r="O39" s="30" t="s">
        <v>85</v>
      </c>
      <c r="P39" s="30" t="s">
        <v>85</v>
      </c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>
        <v>44743</v>
      </c>
      <c r="AI39" s="29">
        <v>44756</v>
      </c>
      <c r="AJ39" s="13">
        <f t="shared" si="2"/>
        <v>4</v>
      </c>
      <c r="AK39" s="13">
        <f t="shared" si="3"/>
        <v>1</v>
      </c>
      <c r="AL39" s="13">
        <f t="shared" si="4"/>
        <v>9</v>
      </c>
      <c r="AM39" s="26">
        <f t="shared" si="5"/>
        <v>1</v>
      </c>
    </row>
    <row r="40" spans="1:39" x14ac:dyDescent="0.3">
      <c r="A40" s="3">
        <v>37</v>
      </c>
      <c r="B40" s="3" t="s">
        <v>38</v>
      </c>
      <c r="C40" s="30" t="s">
        <v>85</v>
      </c>
      <c r="D40" s="30" t="s">
        <v>85</v>
      </c>
      <c r="E40" s="32" t="s">
        <v>83</v>
      </c>
      <c r="F40" s="30" t="s">
        <v>83</v>
      </c>
      <c r="G40" s="30" t="s">
        <v>83</v>
      </c>
      <c r="H40" s="30" t="s">
        <v>83</v>
      </c>
      <c r="I40" s="30" t="s">
        <v>83</v>
      </c>
      <c r="J40" s="30" t="s">
        <v>83</v>
      </c>
      <c r="K40" s="30" t="s">
        <v>83</v>
      </c>
      <c r="L40" s="30" t="s">
        <v>83</v>
      </c>
      <c r="M40" s="30" t="s">
        <v>83</v>
      </c>
      <c r="N40" s="30" t="s">
        <v>85</v>
      </c>
      <c r="O40" s="30" t="s">
        <v>85</v>
      </c>
      <c r="P40" s="30" t="s">
        <v>85</v>
      </c>
      <c r="Q40" s="30"/>
      <c r="R40" s="30"/>
      <c r="S40" s="32"/>
      <c r="T40" s="30"/>
      <c r="U40" s="30"/>
      <c r="V40" s="30"/>
      <c r="W40" s="30"/>
      <c r="X40" s="30"/>
      <c r="Y40" s="30"/>
      <c r="Z40" s="32"/>
      <c r="AA40" s="30"/>
      <c r="AB40" s="30"/>
      <c r="AC40" s="30"/>
      <c r="AD40" s="30"/>
      <c r="AE40" s="30"/>
      <c r="AF40" s="30"/>
      <c r="AG40" s="30"/>
      <c r="AH40" s="28">
        <v>44743</v>
      </c>
      <c r="AI40" s="29">
        <v>44756</v>
      </c>
      <c r="AJ40" s="13">
        <f t="shared" si="2"/>
        <v>5</v>
      </c>
      <c r="AK40" s="13">
        <f t="shared" si="3"/>
        <v>0</v>
      </c>
      <c r="AL40" s="13">
        <f t="shared" si="4"/>
        <v>9</v>
      </c>
      <c r="AM40" s="26">
        <f t="shared" si="5"/>
        <v>1</v>
      </c>
    </row>
    <row r="41" spans="1:39" x14ac:dyDescent="0.3">
      <c r="A41" s="3">
        <v>38</v>
      </c>
      <c r="B41" s="3" t="s">
        <v>39</v>
      </c>
      <c r="C41" s="30" t="s">
        <v>136</v>
      </c>
      <c r="D41" s="30" t="s">
        <v>136</v>
      </c>
      <c r="E41" s="30" t="s">
        <v>136</v>
      </c>
      <c r="F41" s="30" t="s">
        <v>136</v>
      </c>
      <c r="G41" s="30" t="s">
        <v>136</v>
      </c>
      <c r="H41" s="30" t="s">
        <v>136</v>
      </c>
      <c r="I41" s="30" t="s">
        <v>136</v>
      </c>
      <c r="J41" s="30" t="s">
        <v>136</v>
      </c>
      <c r="K41" s="30" t="s">
        <v>136</v>
      </c>
      <c r="L41" s="30" t="s">
        <v>136</v>
      </c>
      <c r="M41" s="30" t="s">
        <v>136</v>
      </c>
      <c r="N41" s="30" t="s">
        <v>136</v>
      </c>
      <c r="O41" s="30" t="s">
        <v>136</v>
      </c>
      <c r="P41" s="30" t="s">
        <v>136</v>
      </c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>
        <v>44743</v>
      </c>
      <c r="AI41" s="29">
        <v>44756</v>
      </c>
      <c r="AJ41" s="13">
        <f t="shared" si="2"/>
        <v>0</v>
      </c>
      <c r="AK41" s="13">
        <f t="shared" si="3"/>
        <v>0</v>
      </c>
      <c r="AL41" s="13">
        <f t="shared" si="4"/>
        <v>0</v>
      </c>
      <c r="AM41" s="26">
        <f t="shared" si="5"/>
        <v>1</v>
      </c>
    </row>
    <row r="42" spans="1:39" x14ac:dyDescent="0.3">
      <c r="A42" s="3">
        <v>39</v>
      </c>
      <c r="B42" s="3" t="s">
        <v>122</v>
      </c>
      <c r="C42" s="30" t="s">
        <v>85</v>
      </c>
      <c r="D42" s="30" t="s">
        <v>85</v>
      </c>
      <c r="E42" s="32" t="s">
        <v>85</v>
      </c>
      <c r="F42" s="30" t="s">
        <v>85</v>
      </c>
      <c r="G42" s="30" t="s">
        <v>85</v>
      </c>
      <c r="H42" s="30" t="s">
        <v>85</v>
      </c>
      <c r="I42" s="30" t="s">
        <v>85</v>
      </c>
      <c r="J42" s="30" t="s">
        <v>85</v>
      </c>
      <c r="K42" s="30" t="s">
        <v>83</v>
      </c>
      <c r="L42" s="30" t="s">
        <v>83</v>
      </c>
      <c r="M42" s="30" t="s">
        <v>83</v>
      </c>
      <c r="N42" s="30" t="s">
        <v>83</v>
      </c>
      <c r="O42" s="30" t="s">
        <v>83</v>
      </c>
      <c r="P42" s="30" t="s">
        <v>83</v>
      </c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>
        <v>44743</v>
      </c>
      <c r="AI42" s="29">
        <v>44756</v>
      </c>
      <c r="AJ42" s="13">
        <f t="shared" si="2"/>
        <v>8</v>
      </c>
      <c r="AK42" s="13">
        <f t="shared" si="3"/>
        <v>0</v>
      </c>
      <c r="AL42" s="13">
        <f t="shared" si="4"/>
        <v>6</v>
      </c>
      <c r="AM42" s="26">
        <f t="shared" si="5"/>
        <v>1</v>
      </c>
    </row>
    <row r="43" spans="1:39" x14ac:dyDescent="0.3">
      <c r="A43" s="3">
        <v>40</v>
      </c>
      <c r="B43" s="3" t="s">
        <v>41</v>
      </c>
      <c r="C43" s="30" t="s">
        <v>83</v>
      </c>
      <c r="D43" s="30" t="s">
        <v>85</v>
      </c>
      <c r="E43" s="32" t="s">
        <v>92</v>
      </c>
      <c r="F43" s="30" t="s">
        <v>85</v>
      </c>
      <c r="G43" s="30" t="s">
        <v>85</v>
      </c>
      <c r="H43" s="30" t="s">
        <v>85</v>
      </c>
      <c r="I43" s="30" t="s">
        <v>92</v>
      </c>
      <c r="J43" s="30" t="s">
        <v>83</v>
      </c>
      <c r="K43" s="30" t="s">
        <v>83</v>
      </c>
      <c r="L43" s="32" t="s">
        <v>83</v>
      </c>
      <c r="M43" s="30" t="s">
        <v>83</v>
      </c>
      <c r="N43" s="30" t="s">
        <v>92</v>
      </c>
      <c r="O43" s="30" t="s">
        <v>92</v>
      </c>
      <c r="P43" s="30" t="s">
        <v>92</v>
      </c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>
        <v>44743</v>
      </c>
      <c r="AI43" s="29">
        <v>44756</v>
      </c>
      <c r="AJ43" s="13">
        <f t="shared" si="2"/>
        <v>4</v>
      </c>
      <c r="AK43" s="13">
        <f t="shared" si="3"/>
        <v>5</v>
      </c>
      <c r="AL43" s="13">
        <f t="shared" si="4"/>
        <v>5</v>
      </c>
      <c r="AM43" s="26">
        <f t="shared" si="5"/>
        <v>1</v>
      </c>
    </row>
    <row r="44" spans="1:39" x14ac:dyDescent="0.3">
      <c r="A44" s="3">
        <v>41</v>
      </c>
      <c r="B44" s="3" t="s">
        <v>112</v>
      </c>
      <c r="C44" s="30" t="s">
        <v>85</v>
      </c>
      <c r="D44" s="30" t="s">
        <v>85</v>
      </c>
      <c r="E44" s="32" t="s">
        <v>85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83</v>
      </c>
      <c r="L44" s="30" t="s">
        <v>83</v>
      </c>
      <c r="M44" s="30" t="s">
        <v>83</v>
      </c>
      <c r="N44" s="30" t="s">
        <v>85</v>
      </c>
      <c r="O44" s="30" t="s">
        <v>85</v>
      </c>
      <c r="P44" s="30" t="s">
        <v>85</v>
      </c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>
        <v>44743</v>
      </c>
      <c r="AI44" s="29">
        <v>44756</v>
      </c>
      <c r="AJ44" s="13">
        <f t="shared" si="2"/>
        <v>11</v>
      </c>
      <c r="AK44" s="13">
        <f t="shared" si="3"/>
        <v>0</v>
      </c>
      <c r="AL44" s="13">
        <f t="shared" si="4"/>
        <v>3</v>
      </c>
      <c r="AM44" s="26">
        <f t="shared" si="5"/>
        <v>1</v>
      </c>
    </row>
    <row r="45" spans="1:39" x14ac:dyDescent="0.3">
      <c r="A45" s="3">
        <v>42</v>
      </c>
      <c r="B45" s="3" t="s">
        <v>43</v>
      </c>
      <c r="C45" s="30" t="s">
        <v>85</v>
      </c>
      <c r="D45" s="30" t="s">
        <v>85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136</v>
      </c>
      <c r="K45" s="30" t="s">
        <v>83</v>
      </c>
      <c r="L45" s="32" t="s">
        <v>83</v>
      </c>
      <c r="M45" s="30" t="s">
        <v>83</v>
      </c>
      <c r="N45" s="30" t="s">
        <v>85</v>
      </c>
      <c r="O45" s="30" t="s">
        <v>85</v>
      </c>
      <c r="P45" s="30" t="s">
        <v>85</v>
      </c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>
        <v>44743</v>
      </c>
      <c r="AI45" s="29">
        <v>44756</v>
      </c>
      <c r="AJ45" s="13">
        <f t="shared" si="2"/>
        <v>10</v>
      </c>
      <c r="AK45" s="13">
        <f t="shared" si="3"/>
        <v>0</v>
      </c>
      <c r="AL45" s="13">
        <f t="shared" si="4"/>
        <v>3</v>
      </c>
      <c r="AM45" s="26">
        <f t="shared" si="5"/>
        <v>1</v>
      </c>
    </row>
    <row r="46" spans="1:39" x14ac:dyDescent="0.3">
      <c r="A46" s="3">
        <v>43</v>
      </c>
      <c r="B46" s="3" t="s">
        <v>45</v>
      </c>
      <c r="C46" s="30" t="s">
        <v>85</v>
      </c>
      <c r="D46" s="30" t="s">
        <v>85</v>
      </c>
      <c r="E46" s="32" t="s">
        <v>85</v>
      </c>
      <c r="F46" s="30" t="s">
        <v>85</v>
      </c>
      <c r="G46" s="30" t="s">
        <v>83</v>
      </c>
      <c r="H46" s="30" t="s">
        <v>83</v>
      </c>
      <c r="I46" s="30" t="s">
        <v>83</v>
      </c>
      <c r="J46" s="30" t="s">
        <v>83</v>
      </c>
      <c r="K46" s="30" t="s">
        <v>83</v>
      </c>
      <c r="L46" s="32" t="s">
        <v>83</v>
      </c>
      <c r="M46" s="30" t="s">
        <v>83</v>
      </c>
      <c r="N46" s="30" t="s">
        <v>92</v>
      </c>
      <c r="O46" s="30" t="s">
        <v>92</v>
      </c>
      <c r="P46" s="30" t="s">
        <v>92</v>
      </c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>
        <v>44743</v>
      </c>
      <c r="AI46" s="29">
        <v>44756</v>
      </c>
      <c r="AJ46" s="13">
        <f t="shared" si="2"/>
        <v>4</v>
      </c>
      <c r="AK46" s="13">
        <f t="shared" si="3"/>
        <v>3</v>
      </c>
      <c r="AL46" s="13">
        <f t="shared" si="4"/>
        <v>7</v>
      </c>
      <c r="AM46" s="26">
        <f t="shared" si="5"/>
        <v>1</v>
      </c>
    </row>
    <row r="47" spans="1:39" x14ac:dyDescent="0.3">
      <c r="A47" s="3">
        <v>44</v>
      </c>
      <c r="B47" s="3" t="s">
        <v>47</v>
      </c>
      <c r="C47" s="30" t="s">
        <v>85</v>
      </c>
      <c r="D47" s="30" t="s">
        <v>85</v>
      </c>
      <c r="E47" s="32" t="s">
        <v>85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83</v>
      </c>
      <c r="L47" s="30" t="s">
        <v>83</v>
      </c>
      <c r="M47" s="30" t="s">
        <v>83</v>
      </c>
      <c r="N47" s="30" t="s">
        <v>83</v>
      </c>
      <c r="O47" s="30" t="s">
        <v>83</v>
      </c>
      <c r="P47" s="30" t="s">
        <v>85</v>
      </c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>
        <v>44743</v>
      </c>
      <c r="AI47" s="29">
        <v>44756</v>
      </c>
      <c r="AJ47" s="13">
        <f t="shared" si="2"/>
        <v>9</v>
      </c>
      <c r="AK47" s="13">
        <f t="shared" si="3"/>
        <v>0</v>
      </c>
      <c r="AL47" s="13">
        <f t="shared" si="4"/>
        <v>5</v>
      </c>
      <c r="AM47" s="26">
        <f t="shared" si="5"/>
        <v>1</v>
      </c>
    </row>
    <row r="48" spans="1:39" x14ac:dyDescent="0.3">
      <c r="A48" s="3">
        <v>45</v>
      </c>
      <c r="B48" s="3" t="s">
        <v>48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>
        <v>44743</v>
      </c>
      <c r="AI48" s="29">
        <v>44756</v>
      </c>
      <c r="AJ48" s="13">
        <f t="shared" si="2"/>
        <v>0</v>
      </c>
      <c r="AK48" s="13">
        <f t="shared" si="3"/>
        <v>0</v>
      </c>
      <c r="AL48" s="13">
        <f t="shared" si="4"/>
        <v>0</v>
      </c>
      <c r="AM48" s="26">
        <f t="shared" si="5"/>
        <v>1</v>
      </c>
    </row>
    <row r="49" spans="1:39" x14ac:dyDescent="0.3">
      <c r="A49" s="3">
        <v>46</v>
      </c>
      <c r="B49" s="3" t="s">
        <v>49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>
        <v>44743</v>
      </c>
      <c r="AI49" s="29">
        <v>44756</v>
      </c>
      <c r="AJ49" s="13">
        <f t="shared" si="2"/>
        <v>0</v>
      </c>
      <c r="AK49" s="13">
        <f t="shared" si="3"/>
        <v>0</v>
      </c>
      <c r="AL49" s="13">
        <f t="shared" si="4"/>
        <v>0</v>
      </c>
      <c r="AM49" s="26">
        <f t="shared" si="5"/>
        <v>1</v>
      </c>
    </row>
    <row r="50" spans="1:39" x14ac:dyDescent="0.3">
      <c r="A50" s="3">
        <v>47</v>
      </c>
      <c r="B50" s="3" t="s">
        <v>50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>
        <v>44743</v>
      </c>
      <c r="AI50" s="29">
        <v>44756</v>
      </c>
      <c r="AJ50" s="13">
        <f t="shared" si="2"/>
        <v>0</v>
      </c>
      <c r="AK50" s="13">
        <f t="shared" si="3"/>
        <v>0</v>
      </c>
      <c r="AL50" s="13">
        <f t="shared" si="4"/>
        <v>0</v>
      </c>
      <c r="AM50" s="26">
        <f t="shared" si="5"/>
        <v>1</v>
      </c>
    </row>
    <row r="51" spans="1:39" x14ac:dyDescent="0.3">
      <c r="A51" s="3">
        <v>48</v>
      </c>
      <c r="B51" s="3" t="s">
        <v>51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>
        <v>44743</v>
      </c>
      <c r="AI51" s="29">
        <v>44756</v>
      </c>
      <c r="AJ51" s="13">
        <f t="shared" si="2"/>
        <v>0</v>
      </c>
      <c r="AK51" s="13">
        <f t="shared" si="3"/>
        <v>0</v>
      </c>
      <c r="AL51" s="13">
        <f t="shared" si="4"/>
        <v>0</v>
      </c>
      <c r="AM51" s="26">
        <f t="shared" si="5"/>
        <v>1</v>
      </c>
    </row>
    <row r="52" spans="1:39" x14ac:dyDescent="0.3">
      <c r="A52" s="3">
        <v>49</v>
      </c>
      <c r="B52" s="3" t="s">
        <v>52</v>
      </c>
      <c r="C52" s="30" t="s">
        <v>85</v>
      </c>
      <c r="D52" s="30" t="s">
        <v>85</v>
      </c>
      <c r="E52" s="32" t="s">
        <v>85</v>
      </c>
      <c r="F52" s="30" t="s">
        <v>85</v>
      </c>
      <c r="G52" s="30" t="s">
        <v>85</v>
      </c>
      <c r="H52" s="30" t="s">
        <v>85</v>
      </c>
      <c r="I52" s="30" t="s">
        <v>85</v>
      </c>
      <c r="J52" s="30" t="s">
        <v>85</v>
      </c>
      <c r="K52" s="30" t="s">
        <v>83</v>
      </c>
      <c r="L52" s="30" t="s">
        <v>83</v>
      </c>
      <c r="M52" s="30" t="s">
        <v>83</v>
      </c>
      <c r="N52" s="30" t="s">
        <v>85</v>
      </c>
      <c r="O52" s="30" t="s">
        <v>85</v>
      </c>
      <c r="P52" s="30" t="s">
        <v>85</v>
      </c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>
        <v>44743</v>
      </c>
      <c r="AI52" s="29">
        <v>44756</v>
      </c>
      <c r="AJ52" s="13">
        <f t="shared" si="2"/>
        <v>11</v>
      </c>
      <c r="AK52" s="13">
        <f t="shared" si="3"/>
        <v>0</v>
      </c>
      <c r="AL52" s="13">
        <f t="shared" si="4"/>
        <v>3</v>
      </c>
      <c r="AM52" s="26">
        <f t="shared" si="5"/>
        <v>1</v>
      </c>
    </row>
    <row r="53" spans="1:39" x14ac:dyDescent="0.3">
      <c r="A53" s="3">
        <v>50</v>
      </c>
      <c r="B53" s="3" t="s">
        <v>53</v>
      </c>
      <c r="C53" s="30" t="s">
        <v>85</v>
      </c>
      <c r="D53" s="30" t="s">
        <v>85</v>
      </c>
      <c r="E53" s="32" t="s">
        <v>85</v>
      </c>
      <c r="F53" s="30" t="s">
        <v>85</v>
      </c>
      <c r="G53" s="30" t="s">
        <v>85</v>
      </c>
      <c r="H53" s="30" t="s">
        <v>83</v>
      </c>
      <c r="I53" s="30" t="s">
        <v>85</v>
      </c>
      <c r="J53" s="30" t="s">
        <v>85</v>
      </c>
      <c r="K53" s="30" t="s">
        <v>83</v>
      </c>
      <c r="L53" s="30" t="s">
        <v>83</v>
      </c>
      <c r="M53" s="30" t="s">
        <v>83</v>
      </c>
      <c r="N53" s="30" t="s">
        <v>85</v>
      </c>
      <c r="O53" s="30" t="s">
        <v>85</v>
      </c>
      <c r="P53" s="30" t="s">
        <v>85</v>
      </c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>
        <v>44743</v>
      </c>
      <c r="AI53" s="29">
        <v>44756</v>
      </c>
      <c r="AJ53" s="13">
        <f t="shared" si="2"/>
        <v>10</v>
      </c>
      <c r="AK53" s="13">
        <f t="shared" si="3"/>
        <v>0</v>
      </c>
      <c r="AL53" s="13">
        <f t="shared" si="4"/>
        <v>4</v>
      </c>
      <c r="AM53" s="26">
        <f t="shared" si="5"/>
        <v>1</v>
      </c>
    </row>
    <row r="54" spans="1:39" x14ac:dyDescent="0.3">
      <c r="A54" s="3">
        <v>51</v>
      </c>
      <c r="B54" s="3" t="s">
        <v>54</v>
      </c>
      <c r="C54" s="30" t="s">
        <v>83</v>
      </c>
      <c r="D54" s="30" t="s">
        <v>85</v>
      </c>
      <c r="E54" s="32" t="s">
        <v>85</v>
      </c>
      <c r="F54" s="30" t="s">
        <v>85</v>
      </c>
      <c r="G54" s="30" t="s">
        <v>85</v>
      </c>
      <c r="H54" s="30" t="s">
        <v>85</v>
      </c>
      <c r="I54" s="30" t="s">
        <v>85</v>
      </c>
      <c r="J54" s="30" t="s">
        <v>83</v>
      </c>
      <c r="K54" s="30" t="s">
        <v>83</v>
      </c>
      <c r="L54" s="30" t="s">
        <v>83</v>
      </c>
      <c r="M54" s="30" t="s">
        <v>83</v>
      </c>
      <c r="N54" s="30" t="s">
        <v>85</v>
      </c>
      <c r="O54" s="30" t="s">
        <v>85</v>
      </c>
      <c r="P54" s="30" t="s">
        <v>85</v>
      </c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>
        <v>44743</v>
      </c>
      <c r="AI54" s="29">
        <v>44756</v>
      </c>
      <c r="AJ54" s="13">
        <f t="shared" si="2"/>
        <v>9</v>
      </c>
      <c r="AK54" s="13">
        <f t="shared" si="3"/>
        <v>0</v>
      </c>
      <c r="AL54" s="13">
        <f t="shared" si="4"/>
        <v>5</v>
      </c>
      <c r="AM54" s="26">
        <f t="shared" si="5"/>
        <v>1</v>
      </c>
    </row>
    <row r="55" spans="1:39" x14ac:dyDescent="0.3">
      <c r="A55" s="3">
        <v>52</v>
      </c>
      <c r="B55" s="3" t="s">
        <v>55</v>
      </c>
      <c r="C55" s="30" t="s">
        <v>85</v>
      </c>
      <c r="D55" s="30" t="s">
        <v>85</v>
      </c>
      <c r="E55" s="32" t="s">
        <v>83</v>
      </c>
      <c r="F55" s="30" t="s">
        <v>83</v>
      </c>
      <c r="G55" s="30" t="s">
        <v>83</v>
      </c>
      <c r="H55" s="30" t="s">
        <v>83</v>
      </c>
      <c r="I55" s="30" t="s">
        <v>83</v>
      </c>
      <c r="J55" s="30" t="s">
        <v>83</v>
      </c>
      <c r="K55" s="30" t="s">
        <v>83</v>
      </c>
      <c r="L55" s="30" t="s">
        <v>83</v>
      </c>
      <c r="M55" s="30" t="s">
        <v>83</v>
      </c>
      <c r="N55" s="30" t="s">
        <v>85</v>
      </c>
      <c r="O55" s="30" t="s">
        <v>85</v>
      </c>
      <c r="P55" s="30" t="s">
        <v>85</v>
      </c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>
        <v>44743</v>
      </c>
      <c r="AI55" s="29">
        <v>44756</v>
      </c>
      <c r="AJ55" s="13">
        <f t="shared" si="2"/>
        <v>5</v>
      </c>
      <c r="AK55" s="13">
        <f t="shared" si="3"/>
        <v>0</v>
      </c>
      <c r="AL55" s="13">
        <f t="shared" si="4"/>
        <v>9</v>
      </c>
      <c r="AM55" s="26">
        <f t="shared" si="5"/>
        <v>1</v>
      </c>
    </row>
    <row r="56" spans="1:39" x14ac:dyDescent="0.3">
      <c r="A56" s="3">
        <v>53</v>
      </c>
      <c r="B56" s="3" t="s">
        <v>56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>
        <v>44743</v>
      </c>
      <c r="AI56" s="29">
        <v>44756</v>
      </c>
      <c r="AJ56" s="13">
        <f t="shared" si="2"/>
        <v>0</v>
      </c>
      <c r="AK56" s="13">
        <f t="shared" si="3"/>
        <v>0</v>
      </c>
      <c r="AL56" s="13">
        <f t="shared" si="4"/>
        <v>0</v>
      </c>
      <c r="AM56" s="26">
        <f t="shared" si="5"/>
        <v>1</v>
      </c>
    </row>
    <row r="57" spans="1:39" x14ac:dyDescent="0.3">
      <c r="A57" s="3">
        <v>54</v>
      </c>
      <c r="B57" s="3" t="s">
        <v>57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>
        <v>44743</v>
      </c>
      <c r="AI57" s="29">
        <v>44756</v>
      </c>
      <c r="AJ57" s="13">
        <f t="shared" si="2"/>
        <v>0</v>
      </c>
      <c r="AK57" s="13">
        <f t="shared" si="3"/>
        <v>0</v>
      </c>
      <c r="AL57" s="13">
        <f t="shared" si="4"/>
        <v>0</v>
      </c>
      <c r="AM57" s="26">
        <f t="shared" si="5"/>
        <v>1</v>
      </c>
    </row>
    <row r="58" spans="1:39" x14ac:dyDescent="0.3">
      <c r="A58" s="3">
        <v>55</v>
      </c>
      <c r="B58" s="3" t="s">
        <v>58</v>
      </c>
      <c r="C58" s="30" t="s">
        <v>85</v>
      </c>
      <c r="D58" s="30" t="s">
        <v>85</v>
      </c>
      <c r="E58" s="32" t="s">
        <v>85</v>
      </c>
      <c r="F58" s="30" t="s">
        <v>85</v>
      </c>
      <c r="G58" s="30" t="s">
        <v>85</v>
      </c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>
        <v>44743</v>
      </c>
      <c r="AI58" s="29">
        <v>44756</v>
      </c>
      <c r="AJ58" s="13">
        <f t="shared" si="2"/>
        <v>5</v>
      </c>
      <c r="AK58" s="13">
        <f t="shared" si="3"/>
        <v>0</v>
      </c>
      <c r="AL58" s="13">
        <f t="shared" si="4"/>
        <v>0</v>
      </c>
      <c r="AM58" s="26">
        <f t="shared" si="5"/>
        <v>1</v>
      </c>
    </row>
    <row r="59" spans="1:39" x14ac:dyDescent="0.3">
      <c r="A59" s="3">
        <v>56</v>
      </c>
      <c r="B59" s="3" t="s">
        <v>59</v>
      </c>
      <c r="C59" s="30" t="s">
        <v>85</v>
      </c>
      <c r="D59" s="30" t="s">
        <v>85</v>
      </c>
      <c r="E59" s="32" t="s">
        <v>85</v>
      </c>
      <c r="F59" s="30" t="s">
        <v>85</v>
      </c>
      <c r="G59" s="30" t="s">
        <v>85</v>
      </c>
      <c r="H59" s="30" t="s">
        <v>92</v>
      </c>
      <c r="I59" s="30" t="s">
        <v>85</v>
      </c>
      <c r="J59" s="30" t="s">
        <v>136</v>
      </c>
      <c r="K59" s="30" t="s">
        <v>83</v>
      </c>
      <c r="L59" s="30" t="s">
        <v>83</v>
      </c>
      <c r="M59" s="30" t="s">
        <v>83</v>
      </c>
      <c r="N59" s="30" t="s">
        <v>85</v>
      </c>
      <c r="O59" s="30" t="s">
        <v>85</v>
      </c>
      <c r="P59" s="30" t="s">
        <v>85</v>
      </c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>
        <v>44743</v>
      </c>
      <c r="AI59" s="29">
        <v>44756</v>
      </c>
      <c r="AJ59" s="13">
        <f t="shared" si="2"/>
        <v>9</v>
      </c>
      <c r="AK59" s="13">
        <f t="shared" si="3"/>
        <v>1</v>
      </c>
      <c r="AL59" s="13">
        <f t="shared" si="4"/>
        <v>3</v>
      </c>
      <c r="AM59" s="26">
        <f t="shared" si="5"/>
        <v>1</v>
      </c>
    </row>
    <row r="60" spans="1:39" x14ac:dyDescent="0.3">
      <c r="A60" s="3">
        <v>57</v>
      </c>
      <c r="B60" s="3" t="s">
        <v>60</v>
      </c>
      <c r="C60" s="30" t="s">
        <v>85</v>
      </c>
      <c r="D60" s="30" t="s">
        <v>85</v>
      </c>
      <c r="E60" s="32" t="s">
        <v>85</v>
      </c>
      <c r="F60" s="30" t="s">
        <v>85</v>
      </c>
      <c r="G60" s="30" t="s">
        <v>83</v>
      </c>
      <c r="H60" s="30" t="s">
        <v>83</v>
      </c>
      <c r="I60" s="30" t="s">
        <v>83</v>
      </c>
      <c r="J60" s="30" t="s">
        <v>83</v>
      </c>
      <c r="K60" s="30" t="s">
        <v>83</v>
      </c>
      <c r="L60" s="30" t="s">
        <v>83</v>
      </c>
      <c r="M60" s="30" t="s">
        <v>83</v>
      </c>
      <c r="N60" s="30" t="s">
        <v>85</v>
      </c>
      <c r="O60" s="30" t="s">
        <v>85</v>
      </c>
      <c r="P60" s="30" t="s">
        <v>85</v>
      </c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>
        <v>44743</v>
      </c>
      <c r="AI60" s="29">
        <v>44756</v>
      </c>
      <c r="AJ60" s="13">
        <f t="shared" si="2"/>
        <v>7</v>
      </c>
      <c r="AK60" s="13">
        <f t="shared" si="3"/>
        <v>0</v>
      </c>
      <c r="AL60" s="13">
        <f t="shared" si="4"/>
        <v>7</v>
      </c>
      <c r="AM60" s="26">
        <f t="shared" si="5"/>
        <v>1</v>
      </c>
    </row>
    <row r="61" spans="1:39" x14ac:dyDescent="0.3">
      <c r="A61" s="3">
        <v>58</v>
      </c>
      <c r="B61" s="3" t="s">
        <v>61</v>
      </c>
      <c r="C61" s="30"/>
      <c r="D61" s="30" t="s">
        <v>85</v>
      </c>
      <c r="E61" s="32" t="s">
        <v>85</v>
      </c>
      <c r="F61" s="30" t="s">
        <v>85</v>
      </c>
      <c r="G61" s="30" t="s">
        <v>85</v>
      </c>
      <c r="H61" s="30" t="s">
        <v>85</v>
      </c>
      <c r="I61" s="30" t="s">
        <v>85</v>
      </c>
      <c r="J61" s="30" t="s">
        <v>85</v>
      </c>
      <c r="K61" s="30" t="s">
        <v>85</v>
      </c>
      <c r="L61" s="30" t="s">
        <v>85</v>
      </c>
      <c r="M61" s="30" t="s">
        <v>85</v>
      </c>
      <c r="N61" s="30" t="s">
        <v>85</v>
      </c>
      <c r="O61" s="30" t="s">
        <v>85</v>
      </c>
      <c r="P61" s="30" t="s">
        <v>85</v>
      </c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>
        <v>44743</v>
      </c>
      <c r="AI61" s="29">
        <v>44756</v>
      </c>
      <c r="AJ61" s="13">
        <f t="shared" si="2"/>
        <v>13</v>
      </c>
      <c r="AK61" s="13">
        <f t="shared" si="3"/>
        <v>0</v>
      </c>
      <c r="AL61" s="13">
        <f t="shared" si="4"/>
        <v>0</v>
      </c>
      <c r="AM61" s="26">
        <f t="shared" si="5"/>
        <v>1</v>
      </c>
    </row>
    <row r="62" spans="1:39" x14ac:dyDescent="0.3">
      <c r="A62" s="3">
        <v>59</v>
      </c>
      <c r="B62" s="3" t="s">
        <v>62</v>
      </c>
      <c r="C62" s="30" t="s">
        <v>83</v>
      </c>
      <c r="D62" s="30" t="s">
        <v>85</v>
      </c>
      <c r="E62" s="32" t="s">
        <v>85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83</v>
      </c>
      <c r="K62" s="30" t="s">
        <v>83</v>
      </c>
      <c r="L62" s="30" t="s">
        <v>83</v>
      </c>
      <c r="M62" s="30" t="s">
        <v>83</v>
      </c>
      <c r="N62" s="30" t="s">
        <v>85</v>
      </c>
      <c r="O62" s="30" t="s">
        <v>85</v>
      </c>
      <c r="P62" s="30" t="s">
        <v>85</v>
      </c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>
        <v>44743</v>
      </c>
      <c r="AI62" s="29">
        <v>44756</v>
      </c>
      <c r="AJ62" s="13">
        <f t="shared" si="2"/>
        <v>9</v>
      </c>
      <c r="AK62" s="13">
        <f t="shared" si="3"/>
        <v>0</v>
      </c>
      <c r="AL62" s="13">
        <f t="shared" si="4"/>
        <v>5</v>
      </c>
      <c r="AM62" s="26">
        <f t="shared" si="5"/>
        <v>1</v>
      </c>
    </row>
    <row r="63" spans="1:39" x14ac:dyDescent="0.3">
      <c r="A63" s="3">
        <v>60</v>
      </c>
      <c r="B63" s="3" t="s">
        <v>128</v>
      </c>
      <c r="C63" s="30" t="s">
        <v>85</v>
      </c>
      <c r="D63" s="30" t="s">
        <v>85</v>
      </c>
      <c r="E63" s="32" t="s">
        <v>85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83</v>
      </c>
      <c r="L63" s="30" t="s">
        <v>83</v>
      </c>
      <c r="M63" s="30" t="s">
        <v>83</v>
      </c>
      <c r="N63" s="30" t="s">
        <v>92</v>
      </c>
      <c r="O63" s="30" t="s">
        <v>85</v>
      </c>
      <c r="P63" s="30" t="s">
        <v>85</v>
      </c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>
        <v>44743</v>
      </c>
      <c r="AI63" s="29">
        <v>44756</v>
      </c>
      <c r="AJ63" s="13">
        <f t="shared" si="2"/>
        <v>5</v>
      </c>
      <c r="AK63" s="13">
        <f t="shared" si="3"/>
        <v>1</v>
      </c>
      <c r="AL63" s="13">
        <f t="shared" si="4"/>
        <v>8</v>
      </c>
      <c r="AM63" s="26">
        <f t="shared" si="5"/>
        <v>1</v>
      </c>
    </row>
    <row r="64" spans="1:39" x14ac:dyDescent="0.3">
      <c r="A64" s="3">
        <v>61</v>
      </c>
      <c r="B64" s="3" t="s">
        <v>64</v>
      </c>
      <c r="C64" s="30" t="s">
        <v>136</v>
      </c>
      <c r="D64" s="30" t="s">
        <v>136</v>
      </c>
      <c r="E64" s="30" t="s">
        <v>136</v>
      </c>
      <c r="F64" s="30" t="s">
        <v>136</v>
      </c>
      <c r="G64" s="30" t="s">
        <v>85</v>
      </c>
      <c r="H64" s="30" t="s">
        <v>85</v>
      </c>
      <c r="I64" s="30" t="s">
        <v>85</v>
      </c>
      <c r="J64" s="30" t="s">
        <v>83</v>
      </c>
      <c r="K64" s="30" t="s">
        <v>136</v>
      </c>
      <c r="L64" s="30" t="s">
        <v>136</v>
      </c>
      <c r="M64" s="30" t="s">
        <v>136</v>
      </c>
      <c r="N64" s="30" t="s">
        <v>136</v>
      </c>
      <c r="O64" s="30" t="s">
        <v>85</v>
      </c>
      <c r="P64" s="30" t="s">
        <v>85</v>
      </c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>
        <v>44743</v>
      </c>
      <c r="AI64" s="29">
        <v>44756</v>
      </c>
      <c r="AJ64" s="13">
        <f t="shared" ref="AJ64:AJ87" si="6">COUNTIFS($C$3:$AG$3,"&gt;="&amp;AH64,$C$3:$AG$3,"&lt;="&amp;AI64,C64:AG64,"ح")</f>
        <v>5</v>
      </c>
      <c r="AK64" s="13">
        <f t="shared" ref="AK64:AK87" si="7">COUNTIFS($C$3:$AG$3,"&gt;="&amp;AH64,$C$3:$AG$3,"&lt;="&amp;AI64,C64:AG64,"غ")</f>
        <v>0</v>
      </c>
      <c r="AL64" s="13">
        <f t="shared" si="4"/>
        <v>1</v>
      </c>
      <c r="AM64" s="26">
        <f t="shared" si="5"/>
        <v>1</v>
      </c>
    </row>
    <row r="65" spans="1:39" x14ac:dyDescent="0.3">
      <c r="A65" s="3">
        <v>62</v>
      </c>
      <c r="B65" s="3" t="s">
        <v>65</v>
      </c>
      <c r="C65" s="30" t="s">
        <v>83</v>
      </c>
      <c r="D65" s="30" t="s">
        <v>85</v>
      </c>
      <c r="E65" s="32" t="s">
        <v>85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83</v>
      </c>
      <c r="K65" s="30" t="s">
        <v>83</v>
      </c>
      <c r="L65" s="32" t="s">
        <v>83</v>
      </c>
      <c r="M65" s="30" t="s">
        <v>83</v>
      </c>
      <c r="N65" s="30" t="s">
        <v>136</v>
      </c>
      <c r="O65" s="30" t="s">
        <v>136</v>
      </c>
      <c r="P65" s="30" t="s">
        <v>85</v>
      </c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>
        <v>44743</v>
      </c>
      <c r="AI65" s="29">
        <v>44756</v>
      </c>
      <c r="AJ65" s="13">
        <f t="shared" si="6"/>
        <v>7</v>
      </c>
      <c r="AK65" s="13">
        <f t="shared" si="7"/>
        <v>0</v>
      </c>
      <c r="AL65" s="13">
        <f t="shared" si="4"/>
        <v>5</v>
      </c>
      <c r="AM65" s="26">
        <f t="shared" ref="AM65:AM87" si="8">IF(AH65="",0,1)</f>
        <v>1</v>
      </c>
    </row>
    <row r="66" spans="1:39" x14ac:dyDescent="0.3">
      <c r="A66" s="3">
        <v>63</v>
      </c>
      <c r="B66" s="3" t="s">
        <v>133</v>
      </c>
      <c r="C66" s="30" t="s">
        <v>85</v>
      </c>
      <c r="D66" s="30" t="s">
        <v>85</v>
      </c>
      <c r="E66" s="32" t="s">
        <v>83</v>
      </c>
      <c r="F66" s="30" t="s">
        <v>83</v>
      </c>
      <c r="G66" s="30" t="s">
        <v>83</v>
      </c>
      <c r="H66" s="30" t="s">
        <v>83</v>
      </c>
      <c r="I66" s="30" t="s">
        <v>83</v>
      </c>
      <c r="J66" s="30" t="s">
        <v>83</v>
      </c>
      <c r="K66" s="30" t="s">
        <v>83</v>
      </c>
      <c r="L66" s="30" t="s">
        <v>83</v>
      </c>
      <c r="M66" s="30" t="s">
        <v>83</v>
      </c>
      <c r="N66" s="30" t="s">
        <v>83</v>
      </c>
      <c r="O66" s="30" t="s">
        <v>83</v>
      </c>
      <c r="P66" s="30" t="s">
        <v>83</v>
      </c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>
        <v>44743</v>
      </c>
      <c r="AI66" s="29">
        <v>44756</v>
      </c>
      <c r="AJ66" s="13">
        <f t="shared" si="6"/>
        <v>2</v>
      </c>
      <c r="AK66" s="13">
        <f t="shared" si="7"/>
        <v>0</v>
      </c>
      <c r="AL66" s="13">
        <f t="shared" si="4"/>
        <v>12</v>
      </c>
      <c r="AM66" s="26">
        <f t="shared" si="8"/>
        <v>1</v>
      </c>
    </row>
    <row r="67" spans="1:39" x14ac:dyDescent="0.3">
      <c r="A67" s="3">
        <v>64</v>
      </c>
      <c r="B67" s="41" t="s">
        <v>67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>
        <v>44743</v>
      </c>
      <c r="AI67" s="29">
        <v>44756</v>
      </c>
      <c r="AJ67" s="13">
        <f t="shared" si="6"/>
        <v>0</v>
      </c>
      <c r="AK67" s="13">
        <f t="shared" si="7"/>
        <v>0</v>
      </c>
      <c r="AL67" s="13">
        <f t="shared" si="4"/>
        <v>0</v>
      </c>
      <c r="AM67" s="26">
        <f t="shared" si="8"/>
        <v>1</v>
      </c>
    </row>
    <row r="68" spans="1:39" x14ac:dyDescent="0.3">
      <c r="A68" s="3">
        <v>65</v>
      </c>
      <c r="B68" s="3" t="s">
        <v>68</v>
      </c>
      <c r="C68" s="30" t="s">
        <v>83</v>
      </c>
      <c r="D68" s="30" t="s">
        <v>85</v>
      </c>
      <c r="E68" s="32" t="s">
        <v>85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83</v>
      </c>
      <c r="K68" s="30" t="s">
        <v>85</v>
      </c>
      <c r="L68" s="32" t="s">
        <v>83</v>
      </c>
      <c r="M68" s="30" t="s">
        <v>83</v>
      </c>
      <c r="N68" s="30" t="s">
        <v>85</v>
      </c>
      <c r="O68" s="30" t="s">
        <v>85</v>
      </c>
      <c r="P68" s="30" t="s">
        <v>85</v>
      </c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>
        <v>44743</v>
      </c>
      <c r="AI68" s="29">
        <v>44756</v>
      </c>
      <c r="AJ68" s="13">
        <f t="shared" si="6"/>
        <v>10</v>
      </c>
      <c r="AK68" s="13">
        <f t="shared" si="7"/>
        <v>0</v>
      </c>
      <c r="AL68" s="13">
        <f t="shared" si="4"/>
        <v>4</v>
      </c>
      <c r="AM68" s="26">
        <f t="shared" si="8"/>
        <v>1</v>
      </c>
    </row>
    <row r="69" spans="1:39" x14ac:dyDescent="0.3">
      <c r="A69" s="3">
        <v>66</v>
      </c>
      <c r="B69" s="3" t="s">
        <v>69</v>
      </c>
      <c r="C69" s="30"/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83</v>
      </c>
      <c r="L69" s="32" t="s">
        <v>83</v>
      </c>
      <c r="M69" s="30" t="s">
        <v>83</v>
      </c>
      <c r="N69" s="30" t="s">
        <v>85</v>
      </c>
      <c r="O69" s="30" t="s">
        <v>85</v>
      </c>
      <c r="P69" s="30" t="s">
        <v>85</v>
      </c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>
        <v>44743</v>
      </c>
      <c r="AI69" s="29">
        <v>44756</v>
      </c>
      <c r="AJ69" s="13">
        <f t="shared" si="6"/>
        <v>10</v>
      </c>
      <c r="AK69" s="13">
        <f t="shared" si="7"/>
        <v>0</v>
      </c>
      <c r="AL69" s="13">
        <f t="shared" ref="AL69:AL87" si="9">COUNTIFS($C$3:$AG$3,"&gt;="&amp;AH69,$C$3:$AG$3,"&lt;="&amp;AI69,C69:AG69,"م")</f>
        <v>3</v>
      </c>
      <c r="AM69" s="26">
        <f t="shared" si="8"/>
        <v>1</v>
      </c>
    </row>
    <row r="70" spans="1:39" x14ac:dyDescent="0.3">
      <c r="A70" s="3">
        <v>67</v>
      </c>
      <c r="B70" s="3" t="s">
        <v>70</v>
      </c>
      <c r="C70" s="30" t="s">
        <v>83</v>
      </c>
      <c r="D70" s="30" t="s">
        <v>85</v>
      </c>
      <c r="E70" s="32" t="s">
        <v>85</v>
      </c>
      <c r="F70" s="30" t="s">
        <v>85</v>
      </c>
      <c r="G70" s="30" t="s">
        <v>85</v>
      </c>
      <c r="H70" s="30" t="s">
        <v>92</v>
      </c>
      <c r="I70" s="30" t="s">
        <v>92</v>
      </c>
      <c r="J70" s="30" t="s">
        <v>83</v>
      </c>
      <c r="K70" s="30" t="s">
        <v>83</v>
      </c>
      <c r="L70" s="32" t="s">
        <v>83</v>
      </c>
      <c r="M70" s="30" t="s">
        <v>83</v>
      </c>
      <c r="N70" s="30" t="s">
        <v>92</v>
      </c>
      <c r="O70" s="30" t="s">
        <v>85</v>
      </c>
      <c r="P70" s="30" t="s">
        <v>85</v>
      </c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>
        <v>44743</v>
      </c>
      <c r="AI70" s="29">
        <v>44756</v>
      </c>
      <c r="AJ70" s="13">
        <f t="shared" si="6"/>
        <v>6</v>
      </c>
      <c r="AK70" s="13">
        <f t="shared" si="7"/>
        <v>3</v>
      </c>
      <c r="AL70" s="13">
        <f t="shared" si="9"/>
        <v>5</v>
      </c>
      <c r="AM70" s="26">
        <f t="shared" si="8"/>
        <v>1</v>
      </c>
    </row>
    <row r="71" spans="1:39" x14ac:dyDescent="0.3">
      <c r="A71" s="3">
        <v>68</v>
      </c>
      <c r="B71" s="3" t="s">
        <v>129</v>
      </c>
      <c r="C71" s="30" t="s">
        <v>85</v>
      </c>
      <c r="D71" s="30" t="s">
        <v>85</v>
      </c>
      <c r="E71" s="32" t="s">
        <v>85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83</v>
      </c>
      <c r="K71" s="30" t="s">
        <v>83</v>
      </c>
      <c r="L71" s="30" t="s">
        <v>83</v>
      </c>
      <c r="M71" s="30" t="s">
        <v>83</v>
      </c>
      <c r="N71" s="30" t="s">
        <v>83</v>
      </c>
      <c r="O71" s="30" t="s">
        <v>83</v>
      </c>
      <c r="P71" s="30" t="s">
        <v>85</v>
      </c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>
        <v>44743</v>
      </c>
      <c r="AI71" s="29">
        <v>44756</v>
      </c>
      <c r="AJ71" s="13">
        <f t="shared" si="6"/>
        <v>8</v>
      </c>
      <c r="AK71" s="13">
        <f t="shared" si="7"/>
        <v>0</v>
      </c>
      <c r="AL71" s="13">
        <f t="shared" si="9"/>
        <v>6</v>
      </c>
      <c r="AM71" s="26">
        <f t="shared" si="8"/>
        <v>1</v>
      </c>
    </row>
    <row r="72" spans="1:39" x14ac:dyDescent="0.3">
      <c r="A72" s="3">
        <v>69</v>
      </c>
      <c r="B72" s="3" t="s">
        <v>124</v>
      </c>
      <c r="C72" s="30" t="s">
        <v>83</v>
      </c>
      <c r="D72" s="30" t="s">
        <v>85</v>
      </c>
      <c r="E72" s="32" t="s">
        <v>85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83</v>
      </c>
      <c r="K72" s="30" t="s">
        <v>83</v>
      </c>
      <c r="L72" s="30" t="s">
        <v>83</v>
      </c>
      <c r="M72" s="30" t="s">
        <v>83</v>
      </c>
      <c r="N72" s="30" t="s">
        <v>92</v>
      </c>
      <c r="O72" s="30" t="s">
        <v>85</v>
      </c>
      <c r="P72" s="30" t="s">
        <v>85</v>
      </c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>
        <v>44743</v>
      </c>
      <c r="AI72" s="29">
        <v>44756</v>
      </c>
      <c r="AJ72" s="13">
        <f t="shared" si="6"/>
        <v>8</v>
      </c>
      <c r="AK72" s="13">
        <f t="shared" si="7"/>
        <v>1</v>
      </c>
      <c r="AL72" s="13">
        <f t="shared" si="9"/>
        <v>5</v>
      </c>
      <c r="AM72" s="26">
        <f t="shared" si="8"/>
        <v>1</v>
      </c>
    </row>
    <row r="73" spans="1:39" x14ac:dyDescent="0.3">
      <c r="A73" s="3">
        <v>70</v>
      </c>
      <c r="B73" s="3" t="s">
        <v>73</v>
      </c>
      <c r="C73" s="30" t="s">
        <v>85</v>
      </c>
      <c r="D73" s="30" t="s">
        <v>85</v>
      </c>
      <c r="E73" s="32" t="s">
        <v>85</v>
      </c>
      <c r="F73" s="30" t="s">
        <v>85</v>
      </c>
      <c r="G73" s="30" t="s">
        <v>85</v>
      </c>
      <c r="H73" s="30" t="s">
        <v>85</v>
      </c>
      <c r="I73" s="30" t="s">
        <v>85</v>
      </c>
      <c r="J73" s="30" t="s">
        <v>85</v>
      </c>
      <c r="K73" s="30" t="s">
        <v>83</v>
      </c>
      <c r="L73" s="30" t="s">
        <v>83</v>
      </c>
      <c r="M73" s="30" t="s">
        <v>83</v>
      </c>
      <c r="N73" s="30" t="s">
        <v>85</v>
      </c>
      <c r="O73" s="30" t="s">
        <v>85</v>
      </c>
      <c r="P73" s="30" t="s">
        <v>85</v>
      </c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>
        <v>44743</v>
      </c>
      <c r="AI73" s="29">
        <v>44756</v>
      </c>
      <c r="AJ73" s="13">
        <f t="shared" si="6"/>
        <v>11</v>
      </c>
      <c r="AK73" s="13">
        <f t="shared" si="7"/>
        <v>0</v>
      </c>
      <c r="AL73" s="13">
        <f t="shared" si="9"/>
        <v>3</v>
      </c>
      <c r="AM73" s="26">
        <f t="shared" si="8"/>
        <v>1</v>
      </c>
    </row>
    <row r="74" spans="1:39" x14ac:dyDescent="0.3">
      <c r="A74" s="3">
        <v>71</v>
      </c>
      <c r="B74" s="3" t="s">
        <v>74</v>
      </c>
      <c r="C74" s="30" t="s">
        <v>85</v>
      </c>
      <c r="D74" s="30" t="s">
        <v>85</v>
      </c>
      <c r="E74" s="32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83</v>
      </c>
      <c r="L74" s="32" t="s">
        <v>83</v>
      </c>
      <c r="M74" s="30" t="s">
        <v>83</v>
      </c>
      <c r="N74" s="30" t="s">
        <v>92</v>
      </c>
      <c r="O74" s="30" t="s">
        <v>92</v>
      </c>
      <c r="P74" s="30" t="s">
        <v>85</v>
      </c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>
        <v>44743</v>
      </c>
      <c r="AI74" s="29">
        <v>44756</v>
      </c>
      <c r="AJ74" s="13">
        <f t="shared" si="6"/>
        <v>9</v>
      </c>
      <c r="AK74" s="13">
        <f t="shared" si="7"/>
        <v>2</v>
      </c>
      <c r="AL74" s="13">
        <f t="shared" si="9"/>
        <v>3</v>
      </c>
      <c r="AM74" s="26">
        <f t="shared" si="8"/>
        <v>1</v>
      </c>
    </row>
    <row r="75" spans="1:39" x14ac:dyDescent="0.3">
      <c r="A75" s="3">
        <v>72</v>
      </c>
      <c r="B75" s="3" t="s">
        <v>75</v>
      </c>
      <c r="C75" s="30" t="s">
        <v>85</v>
      </c>
      <c r="D75" s="30" t="s">
        <v>85</v>
      </c>
      <c r="E75" s="32" t="s">
        <v>85</v>
      </c>
      <c r="F75" s="30" t="s">
        <v>85</v>
      </c>
      <c r="G75" s="30" t="s">
        <v>85</v>
      </c>
      <c r="H75" s="30" t="s">
        <v>85</v>
      </c>
      <c r="I75" s="30" t="s">
        <v>85</v>
      </c>
      <c r="J75" s="30" t="s">
        <v>85</v>
      </c>
      <c r="K75" s="30" t="s">
        <v>83</v>
      </c>
      <c r="L75" s="32" t="s">
        <v>83</v>
      </c>
      <c r="M75" s="30" t="s">
        <v>83</v>
      </c>
      <c r="N75" s="30" t="s">
        <v>85</v>
      </c>
      <c r="O75" s="30" t="s">
        <v>85</v>
      </c>
      <c r="P75" s="30" t="s">
        <v>85</v>
      </c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>
        <v>44743</v>
      </c>
      <c r="AI75" s="29">
        <v>44756</v>
      </c>
      <c r="AJ75" s="13">
        <f t="shared" si="6"/>
        <v>11</v>
      </c>
      <c r="AK75" s="13">
        <f t="shared" si="7"/>
        <v>0</v>
      </c>
      <c r="AL75" s="13">
        <f t="shared" si="9"/>
        <v>3</v>
      </c>
      <c r="AM75" s="26">
        <f t="shared" si="8"/>
        <v>1</v>
      </c>
    </row>
    <row r="76" spans="1:39" x14ac:dyDescent="0.3">
      <c r="A76" s="3">
        <v>73</v>
      </c>
      <c r="B76" s="13" t="s">
        <v>87</v>
      </c>
      <c r="C76" s="30" t="s">
        <v>83</v>
      </c>
      <c r="D76" s="30" t="s">
        <v>85</v>
      </c>
      <c r="E76" s="32" t="s">
        <v>92</v>
      </c>
      <c r="F76" s="30" t="s">
        <v>85</v>
      </c>
      <c r="G76" s="30" t="s">
        <v>85</v>
      </c>
      <c r="H76" s="30" t="s">
        <v>85</v>
      </c>
      <c r="I76" s="30" t="s">
        <v>85</v>
      </c>
      <c r="J76" s="30" t="s">
        <v>83</v>
      </c>
      <c r="K76" s="30" t="s">
        <v>83</v>
      </c>
      <c r="L76" s="32" t="s">
        <v>83</v>
      </c>
      <c r="M76" s="30" t="s">
        <v>83</v>
      </c>
      <c r="N76" s="30" t="s">
        <v>92</v>
      </c>
      <c r="O76" s="30" t="s">
        <v>92</v>
      </c>
      <c r="P76" s="30" t="s">
        <v>92</v>
      </c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>
        <v>44743</v>
      </c>
      <c r="AI76" s="29">
        <v>44756</v>
      </c>
      <c r="AJ76" s="13">
        <f t="shared" si="6"/>
        <v>5</v>
      </c>
      <c r="AK76" s="13">
        <f t="shared" si="7"/>
        <v>4</v>
      </c>
      <c r="AL76" s="13">
        <f t="shared" si="9"/>
        <v>5</v>
      </c>
      <c r="AM76" s="26">
        <f t="shared" si="8"/>
        <v>1</v>
      </c>
    </row>
    <row r="77" spans="1:39" x14ac:dyDescent="0.3">
      <c r="A77" s="3">
        <v>74</v>
      </c>
      <c r="B77" s="13" t="s">
        <v>88</v>
      </c>
      <c r="C77" s="30" t="s">
        <v>85</v>
      </c>
      <c r="D77" s="30" t="s">
        <v>85</v>
      </c>
      <c r="E77" s="32" t="s">
        <v>85</v>
      </c>
      <c r="F77" s="30" t="s">
        <v>85</v>
      </c>
      <c r="G77" s="30" t="s">
        <v>85</v>
      </c>
      <c r="H77" s="30" t="s">
        <v>85</v>
      </c>
      <c r="I77" s="30" t="s">
        <v>85</v>
      </c>
      <c r="J77" s="30" t="s">
        <v>83</v>
      </c>
      <c r="K77" s="30" t="s">
        <v>83</v>
      </c>
      <c r="L77" s="32" t="s">
        <v>83</v>
      </c>
      <c r="M77" s="30" t="s">
        <v>83</v>
      </c>
      <c r="N77" s="30" t="s">
        <v>85</v>
      </c>
      <c r="O77" s="30" t="s">
        <v>85</v>
      </c>
      <c r="P77" s="30" t="s">
        <v>85</v>
      </c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>
        <v>44743</v>
      </c>
      <c r="AI77" s="29">
        <v>44756</v>
      </c>
      <c r="AJ77" s="13">
        <f t="shared" si="6"/>
        <v>10</v>
      </c>
      <c r="AK77" s="13">
        <f t="shared" si="7"/>
        <v>0</v>
      </c>
      <c r="AL77" s="13">
        <f t="shared" si="9"/>
        <v>4</v>
      </c>
      <c r="AM77" s="26">
        <f t="shared" si="8"/>
        <v>1</v>
      </c>
    </row>
    <row r="78" spans="1:39" x14ac:dyDescent="0.3">
      <c r="A78" s="3">
        <v>75</v>
      </c>
      <c r="B78" s="13" t="s">
        <v>89</v>
      </c>
      <c r="C78" s="30" t="s">
        <v>83</v>
      </c>
      <c r="D78" s="30" t="s">
        <v>85</v>
      </c>
      <c r="E78" s="32" t="s">
        <v>92</v>
      </c>
      <c r="F78" s="30" t="s">
        <v>92</v>
      </c>
      <c r="G78" s="30" t="s">
        <v>92</v>
      </c>
      <c r="H78" s="30" t="s">
        <v>92</v>
      </c>
      <c r="I78" s="30" t="s">
        <v>92</v>
      </c>
      <c r="J78" s="30" t="s">
        <v>83</v>
      </c>
      <c r="K78" s="30" t="s">
        <v>83</v>
      </c>
      <c r="L78" s="32" t="s">
        <v>83</v>
      </c>
      <c r="M78" s="30" t="s">
        <v>83</v>
      </c>
      <c r="N78" s="30" t="s">
        <v>85</v>
      </c>
      <c r="O78" s="30" t="s">
        <v>85</v>
      </c>
      <c r="P78" s="30" t="s">
        <v>92</v>
      </c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>
        <v>44743</v>
      </c>
      <c r="AI78" s="29">
        <v>44756</v>
      </c>
      <c r="AJ78" s="13">
        <f t="shared" si="6"/>
        <v>3</v>
      </c>
      <c r="AK78" s="13">
        <f t="shared" si="7"/>
        <v>6</v>
      </c>
      <c r="AL78" s="13">
        <f t="shared" si="9"/>
        <v>5</v>
      </c>
      <c r="AM78" s="26">
        <f t="shared" si="8"/>
        <v>1</v>
      </c>
    </row>
    <row r="79" spans="1:39" x14ac:dyDescent="0.3">
      <c r="A79" s="3">
        <v>76</v>
      </c>
      <c r="B79" s="13" t="s">
        <v>90</v>
      </c>
      <c r="C79" s="30" t="s">
        <v>83</v>
      </c>
      <c r="D79" s="30" t="s">
        <v>85</v>
      </c>
      <c r="E79" s="32" t="s">
        <v>85</v>
      </c>
      <c r="F79" s="30" t="s">
        <v>85</v>
      </c>
      <c r="G79" s="30" t="s">
        <v>92</v>
      </c>
      <c r="H79" s="30" t="s">
        <v>85</v>
      </c>
      <c r="I79" s="30" t="s">
        <v>85</v>
      </c>
      <c r="J79" s="30" t="s">
        <v>83</v>
      </c>
      <c r="K79" s="30" t="s">
        <v>83</v>
      </c>
      <c r="L79" s="32" t="s">
        <v>83</v>
      </c>
      <c r="M79" s="30" t="s">
        <v>83</v>
      </c>
      <c r="N79" s="30" t="s">
        <v>92</v>
      </c>
      <c r="O79" s="30" t="s">
        <v>92</v>
      </c>
      <c r="P79" s="30" t="s">
        <v>92</v>
      </c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>
        <v>44743</v>
      </c>
      <c r="AI79" s="29">
        <v>44756</v>
      </c>
      <c r="AJ79" s="13">
        <f t="shared" si="6"/>
        <v>5</v>
      </c>
      <c r="AK79" s="13">
        <f t="shared" si="7"/>
        <v>4</v>
      </c>
      <c r="AL79" s="13">
        <f t="shared" si="9"/>
        <v>5</v>
      </c>
      <c r="AM79" s="26">
        <f t="shared" si="8"/>
        <v>1</v>
      </c>
    </row>
    <row r="80" spans="1:39" x14ac:dyDescent="0.3">
      <c r="A80" s="3">
        <v>77</v>
      </c>
      <c r="B80" s="13" t="s">
        <v>125</v>
      </c>
      <c r="C80" s="30" t="s">
        <v>83</v>
      </c>
      <c r="D80" s="30" t="s">
        <v>85</v>
      </c>
      <c r="E80" s="32" t="s">
        <v>85</v>
      </c>
      <c r="F80" s="30" t="s">
        <v>85</v>
      </c>
      <c r="G80" s="30" t="s">
        <v>85</v>
      </c>
      <c r="H80" s="30" t="s">
        <v>85</v>
      </c>
      <c r="I80" s="30" t="s">
        <v>85</v>
      </c>
      <c r="J80" s="30" t="s">
        <v>83</v>
      </c>
      <c r="K80" s="30" t="s">
        <v>83</v>
      </c>
      <c r="L80" s="32" t="s">
        <v>83</v>
      </c>
      <c r="M80" s="30" t="s">
        <v>83</v>
      </c>
      <c r="N80" s="30" t="s">
        <v>85</v>
      </c>
      <c r="O80" s="30" t="s">
        <v>85</v>
      </c>
      <c r="P80" s="30" t="s">
        <v>85</v>
      </c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>
        <v>44743</v>
      </c>
      <c r="AI80" s="29">
        <v>44756</v>
      </c>
      <c r="AJ80" s="13">
        <f t="shared" si="6"/>
        <v>9</v>
      </c>
      <c r="AK80" s="13">
        <f t="shared" si="7"/>
        <v>0</v>
      </c>
      <c r="AL80" s="13">
        <f t="shared" si="9"/>
        <v>5</v>
      </c>
      <c r="AM80" s="26">
        <f t="shared" si="8"/>
        <v>1</v>
      </c>
    </row>
    <row r="81" spans="1:39" x14ac:dyDescent="0.3">
      <c r="A81" s="3">
        <v>78</v>
      </c>
      <c r="B81" s="13" t="s">
        <v>118</v>
      </c>
      <c r="C81" s="30" t="s">
        <v>83</v>
      </c>
      <c r="D81" s="30" t="s">
        <v>92</v>
      </c>
      <c r="E81" s="32" t="s">
        <v>92</v>
      </c>
      <c r="F81" s="30" t="s">
        <v>92</v>
      </c>
      <c r="G81" s="30" t="s">
        <v>92</v>
      </c>
      <c r="H81" s="30" t="s">
        <v>92</v>
      </c>
      <c r="I81" s="30" t="s">
        <v>92</v>
      </c>
      <c r="J81" s="30" t="s">
        <v>83</v>
      </c>
      <c r="K81" s="30" t="s">
        <v>83</v>
      </c>
      <c r="L81" s="32" t="s">
        <v>83</v>
      </c>
      <c r="M81" s="30" t="s">
        <v>83</v>
      </c>
      <c r="N81" s="30" t="s">
        <v>85</v>
      </c>
      <c r="O81" s="30" t="s">
        <v>92</v>
      </c>
      <c r="P81" s="30" t="s">
        <v>92</v>
      </c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>
        <v>44743</v>
      </c>
      <c r="AI81" s="29">
        <v>44756</v>
      </c>
      <c r="AJ81" s="13">
        <f t="shared" si="6"/>
        <v>1</v>
      </c>
      <c r="AK81" s="13">
        <f t="shared" si="7"/>
        <v>8</v>
      </c>
      <c r="AL81" s="13">
        <f t="shared" si="9"/>
        <v>5</v>
      </c>
      <c r="AM81" s="26">
        <f t="shared" si="8"/>
        <v>1</v>
      </c>
    </row>
    <row r="82" spans="1:39" x14ac:dyDescent="0.3">
      <c r="A82" s="3">
        <v>79</v>
      </c>
      <c r="B82" s="13" t="s">
        <v>126</v>
      </c>
      <c r="C82" s="30" t="s">
        <v>85</v>
      </c>
      <c r="D82" s="30" t="s">
        <v>85</v>
      </c>
      <c r="E82" s="32" t="s">
        <v>85</v>
      </c>
      <c r="F82" s="30" t="s">
        <v>85</v>
      </c>
      <c r="G82" s="30" t="s">
        <v>85</v>
      </c>
      <c r="H82" s="30" t="s">
        <v>85</v>
      </c>
      <c r="I82" s="30" t="s">
        <v>85</v>
      </c>
      <c r="J82" s="30" t="s">
        <v>85</v>
      </c>
      <c r="K82" s="30" t="s">
        <v>85</v>
      </c>
      <c r="L82" s="30" t="s">
        <v>85</v>
      </c>
      <c r="M82" s="30" t="s">
        <v>85</v>
      </c>
      <c r="N82" s="30" t="s">
        <v>85</v>
      </c>
      <c r="O82" s="30" t="s">
        <v>85</v>
      </c>
      <c r="P82" s="30" t="s">
        <v>85</v>
      </c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>
        <v>44743</v>
      </c>
      <c r="AI82" s="29">
        <v>44756</v>
      </c>
      <c r="AJ82" s="13">
        <f t="shared" si="6"/>
        <v>14</v>
      </c>
      <c r="AK82" s="13">
        <f t="shared" si="7"/>
        <v>0</v>
      </c>
      <c r="AL82" s="13">
        <f t="shared" si="9"/>
        <v>0</v>
      </c>
      <c r="AM82" s="26">
        <f t="shared" si="8"/>
        <v>1</v>
      </c>
    </row>
    <row r="83" spans="1:39" x14ac:dyDescent="0.3">
      <c r="A83" s="3">
        <v>80</v>
      </c>
      <c r="B83" s="13" t="s">
        <v>121</v>
      </c>
      <c r="C83" s="30" t="s">
        <v>85</v>
      </c>
      <c r="D83" s="30" t="s">
        <v>85</v>
      </c>
      <c r="E83" s="32" t="s">
        <v>85</v>
      </c>
      <c r="F83" s="30" t="s">
        <v>83</v>
      </c>
      <c r="G83" s="30" t="s">
        <v>83</v>
      </c>
      <c r="H83" s="30" t="s">
        <v>83</v>
      </c>
      <c r="I83" s="30" t="s">
        <v>83</v>
      </c>
      <c r="J83" s="30" t="s">
        <v>83</v>
      </c>
      <c r="K83" s="30" t="s">
        <v>83</v>
      </c>
      <c r="L83" s="32" t="s">
        <v>83</v>
      </c>
      <c r="M83" s="30" t="s">
        <v>83</v>
      </c>
      <c r="N83" s="30" t="s">
        <v>92</v>
      </c>
      <c r="O83" s="30" t="s">
        <v>92</v>
      </c>
      <c r="P83" s="30" t="s">
        <v>92</v>
      </c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>
        <v>44743</v>
      </c>
      <c r="AI83" s="29">
        <v>44756</v>
      </c>
      <c r="AJ83" s="13">
        <f t="shared" si="6"/>
        <v>3</v>
      </c>
      <c r="AK83" s="13">
        <f t="shared" si="7"/>
        <v>3</v>
      </c>
      <c r="AL83" s="13">
        <f t="shared" si="9"/>
        <v>8</v>
      </c>
      <c r="AM83" s="26">
        <f t="shared" si="8"/>
        <v>1</v>
      </c>
    </row>
    <row r="84" spans="1:39" x14ac:dyDescent="0.3">
      <c r="A84" s="3">
        <v>81</v>
      </c>
      <c r="B84" s="13" t="s">
        <v>127</v>
      </c>
      <c r="C84" s="30" t="s">
        <v>85</v>
      </c>
      <c r="D84" s="30" t="s">
        <v>85</v>
      </c>
      <c r="E84" s="32" t="s">
        <v>85</v>
      </c>
      <c r="F84" s="30" t="s">
        <v>85</v>
      </c>
      <c r="G84" s="30" t="s">
        <v>85</v>
      </c>
      <c r="H84" s="30" t="s">
        <v>83</v>
      </c>
      <c r="I84" s="30" t="s">
        <v>83</v>
      </c>
      <c r="J84" s="30" t="s">
        <v>83</v>
      </c>
      <c r="K84" s="30" t="s">
        <v>83</v>
      </c>
      <c r="L84" s="30" t="s">
        <v>83</v>
      </c>
      <c r="M84" s="30" t="s">
        <v>83</v>
      </c>
      <c r="N84" s="30" t="s">
        <v>83</v>
      </c>
      <c r="O84" s="30" t="s">
        <v>85</v>
      </c>
      <c r="P84" s="30" t="s">
        <v>85</v>
      </c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>
        <v>44743</v>
      </c>
      <c r="AI84" s="29">
        <v>44756</v>
      </c>
      <c r="AJ84" s="13">
        <f t="shared" si="6"/>
        <v>7</v>
      </c>
      <c r="AK84" s="13">
        <f t="shared" si="7"/>
        <v>0</v>
      </c>
      <c r="AL84" s="13">
        <f t="shared" si="9"/>
        <v>7</v>
      </c>
      <c r="AM84" s="26">
        <f t="shared" si="8"/>
        <v>1</v>
      </c>
    </row>
    <row r="85" spans="1:39" x14ac:dyDescent="0.3">
      <c r="A85" s="3">
        <v>82</v>
      </c>
      <c r="B85" s="13" t="s">
        <v>130</v>
      </c>
      <c r="C85" s="30"/>
      <c r="D85" s="30"/>
      <c r="E85" s="32"/>
      <c r="F85" s="30" t="s">
        <v>85</v>
      </c>
      <c r="G85" s="30" t="s">
        <v>85</v>
      </c>
      <c r="H85" s="30" t="s">
        <v>85</v>
      </c>
      <c r="I85" s="30" t="s">
        <v>85</v>
      </c>
      <c r="J85" s="30" t="s">
        <v>85</v>
      </c>
      <c r="K85" s="30" t="s">
        <v>83</v>
      </c>
      <c r="L85" s="32" t="s">
        <v>83</v>
      </c>
      <c r="M85" s="30" t="s">
        <v>83</v>
      </c>
      <c r="N85" s="30" t="s">
        <v>85</v>
      </c>
      <c r="O85" s="30" t="s">
        <v>85</v>
      </c>
      <c r="P85" s="30" t="s">
        <v>85</v>
      </c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/>
      <c r="AD85" s="30"/>
      <c r="AE85" s="30"/>
      <c r="AF85" s="30"/>
      <c r="AG85" s="30"/>
      <c r="AH85" s="28">
        <v>44743</v>
      </c>
      <c r="AI85" s="29">
        <v>44756</v>
      </c>
      <c r="AJ85" s="13">
        <f t="shared" si="6"/>
        <v>8</v>
      </c>
      <c r="AK85" s="13">
        <f t="shared" si="7"/>
        <v>0</v>
      </c>
      <c r="AL85" s="13">
        <f t="shared" si="9"/>
        <v>3</v>
      </c>
      <c r="AM85" s="26">
        <f t="shared" si="8"/>
        <v>1</v>
      </c>
    </row>
    <row r="86" spans="1:39" x14ac:dyDescent="0.3">
      <c r="A86" s="3">
        <v>83</v>
      </c>
      <c r="B86" s="13" t="s">
        <v>134</v>
      </c>
      <c r="C86" s="30"/>
      <c r="D86" s="30"/>
      <c r="E86" s="32"/>
      <c r="F86" s="30"/>
      <c r="G86" s="30"/>
      <c r="H86" s="30"/>
      <c r="I86" s="30"/>
      <c r="J86" s="30"/>
      <c r="K86" s="30"/>
      <c r="L86" s="32"/>
      <c r="M86" s="30"/>
      <c r="N86" s="30"/>
      <c r="O86" s="30"/>
      <c r="P86" s="30"/>
      <c r="Q86" s="30"/>
      <c r="R86" s="30"/>
      <c r="S86" s="32"/>
      <c r="T86" s="30"/>
      <c r="U86" s="30"/>
      <c r="V86" s="30"/>
      <c r="W86" s="30"/>
      <c r="X86" s="30"/>
      <c r="Y86" s="30"/>
      <c r="Z86" s="32"/>
      <c r="AA86" s="30"/>
      <c r="AB86" s="30"/>
      <c r="AC86" s="30"/>
      <c r="AD86" s="30"/>
      <c r="AE86" s="30"/>
      <c r="AF86" s="30"/>
      <c r="AG86" s="30"/>
      <c r="AH86" s="28">
        <v>44743</v>
      </c>
      <c r="AI86" s="29">
        <v>44756</v>
      </c>
      <c r="AJ86" s="13">
        <f t="shared" si="6"/>
        <v>0</v>
      </c>
      <c r="AK86" s="13">
        <f t="shared" si="7"/>
        <v>0</v>
      </c>
      <c r="AL86" s="13">
        <f t="shared" si="9"/>
        <v>0</v>
      </c>
      <c r="AM86" s="26">
        <f t="shared" si="8"/>
        <v>1</v>
      </c>
    </row>
    <row r="87" spans="1:39" x14ac:dyDescent="0.3">
      <c r="A87" s="3">
        <v>84</v>
      </c>
      <c r="B87" s="13" t="s">
        <v>135</v>
      </c>
      <c r="C87" s="30"/>
      <c r="D87" s="30"/>
      <c r="E87" s="32"/>
      <c r="F87" s="30"/>
      <c r="G87" s="30"/>
      <c r="H87" s="30" t="s">
        <v>85</v>
      </c>
      <c r="I87" s="30" t="s">
        <v>85</v>
      </c>
      <c r="J87" s="30" t="s">
        <v>83</v>
      </c>
      <c r="K87" s="30" t="s">
        <v>83</v>
      </c>
      <c r="L87" s="32" t="s">
        <v>83</v>
      </c>
      <c r="M87" s="30" t="s">
        <v>83</v>
      </c>
      <c r="N87" s="30" t="s">
        <v>85</v>
      </c>
      <c r="O87" s="30" t="s">
        <v>92</v>
      </c>
      <c r="P87" s="30" t="s">
        <v>85</v>
      </c>
      <c r="Q87" s="30"/>
      <c r="R87" s="30"/>
      <c r="S87" s="32"/>
      <c r="T87" s="30"/>
      <c r="U87" s="30"/>
      <c r="V87" s="30"/>
      <c r="W87" s="30"/>
      <c r="X87" s="30"/>
      <c r="Y87" s="30"/>
      <c r="Z87" s="32"/>
      <c r="AA87" s="30"/>
      <c r="AB87" s="30"/>
      <c r="AC87" s="30"/>
      <c r="AD87" s="30"/>
      <c r="AE87" s="30"/>
      <c r="AF87" s="30"/>
      <c r="AG87" s="30"/>
      <c r="AH87" s="28">
        <v>44743</v>
      </c>
      <c r="AI87" s="29">
        <v>44756</v>
      </c>
      <c r="AJ87" s="13">
        <f t="shared" si="6"/>
        <v>4</v>
      </c>
      <c r="AK87" s="13">
        <f t="shared" si="7"/>
        <v>1</v>
      </c>
      <c r="AL87" s="13">
        <f t="shared" si="9"/>
        <v>4</v>
      </c>
      <c r="AM87" s="26">
        <f t="shared" si="8"/>
        <v>1</v>
      </c>
    </row>
    <row r="1048558" spans="10:10" x14ac:dyDescent="0.3">
      <c r="J1048558" s="15"/>
    </row>
  </sheetData>
  <mergeCells count="13">
    <mergeCell ref="I29:P29"/>
    <mergeCell ref="C1:E1"/>
    <mergeCell ref="L1:O1"/>
    <mergeCell ref="R1:S1"/>
    <mergeCell ref="AA1:AB1"/>
    <mergeCell ref="AK2:AK3"/>
    <mergeCell ref="AM2:AM3"/>
    <mergeCell ref="A2:A3"/>
    <mergeCell ref="B2:B3"/>
    <mergeCell ref="AH2:AH3"/>
    <mergeCell ref="AI2:AI3"/>
    <mergeCell ref="AJ2:AJ3"/>
    <mergeCell ref="AL2:AL3"/>
  </mergeCells>
  <conditionalFormatting sqref="C4:AG28 Q29:AG29 C29:I29 C30:AG80">
    <cfRule type="cellIs" dxfId="49" priority="53" operator="equal">
      <formula>"م"</formula>
    </cfRule>
    <cfRule type="cellIs" dxfId="48" priority="54" operator="equal">
      <formula>"ح"</formula>
    </cfRule>
    <cfRule type="cellIs" dxfId="47" priority="55" operator="equal">
      <formula>"غ"</formula>
    </cfRule>
    <cfRule type="cellIs" dxfId="46" priority="56" operator="equal">
      <formula>"م"</formula>
    </cfRule>
    <cfRule type="cellIs" dxfId="45" priority="57" operator="equal">
      <formula>"ح"</formula>
    </cfRule>
  </conditionalFormatting>
  <conditionalFormatting sqref="C81:AG83">
    <cfRule type="cellIs" dxfId="44" priority="43" operator="equal">
      <formula>"م"</formula>
    </cfRule>
    <cfRule type="cellIs" dxfId="43" priority="44" operator="equal">
      <formula>"ح"</formula>
    </cfRule>
    <cfRule type="cellIs" dxfId="42" priority="45" operator="equal">
      <formula>"غ"</formula>
    </cfRule>
    <cfRule type="cellIs" dxfId="41" priority="46" operator="equal">
      <formula>"م"</formula>
    </cfRule>
    <cfRule type="cellIs" dxfId="40" priority="47" operator="equal">
      <formula>"ح"</formula>
    </cfRule>
  </conditionalFormatting>
  <conditionalFormatting sqref="C84:AG84">
    <cfRule type="cellIs" dxfId="39" priority="33" operator="equal">
      <formula>"م"</formula>
    </cfRule>
    <cfRule type="cellIs" dxfId="38" priority="34" operator="equal">
      <formula>"ح"</formula>
    </cfRule>
    <cfRule type="cellIs" dxfId="37" priority="35" operator="equal">
      <formula>"غ"</formula>
    </cfRule>
    <cfRule type="cellIs" dxfId="36" priority="36" operator="equal">
      <formula>"م"</formula>
    </cfRule>
    <cfRule type="cellIs" dxfId="35" priority="37" operator="equal">
      <formula>"ح"</formula>
    </cfRule>
  </conditionalFormatting>
  <conditionalFormatting sqref="AK4:AL87 AK2">
    <cfRule type="dataBar" priority="1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{09E1AE50-AF78-42FF-97D2-8EA9CCD3E8FF}</x14:id>
        </ext>
      </extLst>
    </cfRule>
  </conditionalFormatting>
  <conditionalFormatting sqref="AJ4:AJ87 AJ2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{F66202A5-E955-4431-83E0-F7F8831BF0A8}</x14:id>
        </ext>
      </extLst>
    </cfRule>
  </conditionalFormatting>
  <conditionalFormatting sqref="AM4:AM87">
    <cfRule type="iconSet" priority="176">
      <iconSet>
        <cfvo type="percent" val="0"/>
        <cfvo type="percent" val="33"/>
        <cfvo type="percent" val="67"/>
      </iconSet>
    </cfRule>
  </conditionalFormatting>
  <conditionalFormatting sqref="AM4:AM87">
    <cfRule type="iconSet" priority="178">
      <iconSet iconSet="3Signs">
        <cfvo type="percent" val="0"/>
        <cfvo type="percent" val="33"/>
        <cfvo type="percent" val="67"/>
      </iconSet>
    </cfRule>
  </conditionalFormatting>
  <conditionalFormatting sqref="C85:AG86">
    <cfRule type="cellIs" dxfId="34" priority="13" operator="equal">
      <formula>"م"</formula>
    </cfRule>
    <cfRule type="cellIs" dxfId="33" priority="14" operator="equal">
      <formula>"ح"</formula>
    </cfRule>
    <cfRule type="cellIs" dxfId="32" priority="15" operator="equal">
      <formula>"غ"</formula>
    </cfRule>
    <cfRule type="cellIs" dxfId="31" priority="16" operator="equal">
      <formula>"م"</formula>
    </cfRule>
    <cfRule type="cellIs" dxfId="30" priority="17" operator="equal">
      <formula>"ح"</formula>
    </cfRule>
  </conditionalFormatting>
  <conditionalFormatting sqref="C87:AG87">
    <cfRule type="cellIs" dxfId="29" priority="3" operator="equal">
      <formula>"م"</formula>
    </cfRule>
    <cfRule type="cellIs" dxfId="28" priority="4" operator="equal">
      <formula>"ح"</formula>
    </cfRule>
    <cfRule type="cellIs" dxfId="27" priority="5" operator="equal">
      <formula>"غ"</formula>
    </cfRule>
    <cfRule type="cellIs" dxfId="26" priority="6" operator="equal">
      <formula>"م"</formula>
    </cfRule>
    <cfRule type="cellIs" dxfId="25" priority="7" operator="equal">
      <formula>"ح"</formula>
    </cfRule>
  </conditionalFormatting>
  <conditionalFormatting sqref="AL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{1430085D-2008-4C39-87DB-C552B9CE5AD0}</x14:id>
        </ext>
      </extLst>
    </cfRule>
  </conditionalFormatting>
  <conditionalFormatting sqref="AL4:AL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{FBC7A05F-291F-4CBF-AF0E-3EFB8A00BF70}</x14:id>
        </ext>
      </extLs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E1AE50-AF78-42FF-97D2-8EA9CCD3E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AK4:AL87 AK2</xm:sqref>
        </x14:conditionalFormatting>
        <x14:conditionalFormatting xmlns:xm="http://schemas.microsoft.com/office/excel/2006/main">
          <x14:cfRule type="dataBar" id="{F66202A5-E955-4431-83E0-F7F8831BF0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AJ4:AJ87 AJ2</xm:sqref>
        </x14:conditionalFormatting>
        <x14:conditionalFormatting xmlns:xm="http://schemas.microsoft.com/office/excel/2006/main">
          <x14:cfRule type="iconSet" priority="180" id="{4A61E402-8B38-4491-A2B0-58708A33611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AM4:AM87</xm:sqref>
        </x14:conditionalFormatting>
        <x14:conditionalFormatting xmlns:xm="http://schemas.microsoft.com/office/excel/2006/main">
          <x14:cfRule type="dataBar" id="{1430085D-2008-4C39-87DB-C552B9CE5A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AL2</xm:sqref>
        </x14:conditionalFormatting>
        <x14:conditionalFormatting xmlns:xm="http://schemas.microsoft.com/office/excel/2006/main">
          <x14:cfRule type="dataBar" id="{FBC7A05F-291F-4CBF-AF0E-3EFB8A00BF7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AL4:AL87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8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44774</v>
      </c>
      <c r="D3" s="21">
        <f t="shared" ref="D3" si="1">DATE(2022,$P$1,COLUMN(B:B))</f>
        <v>44775</v>
      </c>
      <c r="E3" s="21">
        <f t="shared" ref="E3" si="2">DATE(2022,$P$1,COLUMN(C:C))</f>
        <v>44776</v>
      </c>
      <c r="F3" s="21">
        <f t="shared" ref="F3" si="3">DATE(2022,$P$1,COLUMN(D:D))</f>
        <v>44777</v>
      </c>
      <c r="G3" s="21">
        <f t="shared" ref="G3" si="4">DATE(2022,$P$1,COLUMN(E:E))</f>
        <v>44778</v>
      </c>
      <c r="H3" s="21">
        <f t="shared" ref="H3" si="5">DATE(2022,$P$1,COLUMN(F:F))</f>
        <v>44779</v>
      </c>
      <c r="I3" s="21">
        <f t="shared" ref="I3" si="6">DATE(2022,$P$1,COLUMN(G:G))</f>
        <v>44780</v>
      </c>
      <c r="J3" s="21">
        <f t="shared" ref="J3" si="7">DATE(2022,$P$1,COLUMN(H:H))</f>
        <v>44781</v>
      </c>
      <c r="K3" s="21">
        <f t="shared" ref="K3" si="8">DATE(2022,$P$1,COLUMN(I:I))</f>
        <v>44782</v>
      </c>
      <c r="L3" s="21">
        <f t="shared" ref="L3" si="9">DATE(2022,$P$1,COLUMN(J:J))</f>
        <v>44783</v>
      </c>
      <c r="M3" s="21">
        <f t="shared" ref="M3" si="10">DATE(2022,$P$1,COLUMN(K:K))</f>
        <v>44784</v>
      </c>
      <c r="N3" s="21">
        <f t="shared" ref="N3" si="11">DATE(2022,$P$1,COLUMN(L:L))</f>
        <v>44785</v>
      </c>
      <c r="O3" s="21">
        <f t="shared" ref="O3" si="12">DATE(2022,$P$1,COLUMN(M:M))</f>
        <v>44786</v>
      </c>
      <c r="P3" s="21">
        <f t="shared" ref="P3" si="13">DATE(2022,$P$1,COLUMN(N:N))</f>
        <v>44787</v>
      </c>
      <c r="Q3" s="21">
        <f t="shared" ref="Q3" si="14">DATE(2022,$P$1,COLUMN(O:O))</f>
        <v>44788</v>
      </c>
      <c r="R3" s="21">
        <f t="shared" ref="R3" si="15">DATE(2022,$P$1,COLUMN(P:P))</f>
        <v>44789</v>
      </c>
      <c r="S3" s="21">
        <f t="shared" ref="S3" si="16">DATE(2022,$P$1,COLUMN(Q:Q))</f>
        <v>44790</v>
      </c>
      <c r="T3" s="21">
        <f t="shared" ref="T3" si="17">DATE(2022,$P$1,COLUMN(R:R))</f>
        <v>44791</v>
      </c>
      <c r="U3" s="21">
        <f t="shared" ref="U3" si="18">DATE(2022,$P$1,COLUMN(S:S))</f>
        <v>44792</v>
      </c>
      <c r="V3" s="21">
        <f t="shared" ref="V3" si="19">DATE(2022,$P$1,COLUMN(T:T))</f>
        <v>44793</v>
      </c>
      <c r="W3" s="21">
        <f t="shared" ref="W3" si="20">DATE(2022,$P$1,COLUMN(U:U))</f>
        <v>44794</v>
      </c>
      <c r="X3" s="21">
        <f t="shared" ref="X3" si="21">DATE(2022,$P$1,COLUMN(V:V))</f>
        <v>44795</v>
      </c>
      <c r="Y3" s="21">
        <f t="shared" ref="Y3" si="22">DATE(2022,$P$1,COLUMN(W:W))</f>
        <v>44796</v>
      </c>
      <c r="Z3" s="21">
        <f t="shared" ref="Z3" si="23">DATE(2022,$P$1,COLUMN(X:X))</f>
        <v>44797</v>
      </c>
      <c r="AA3" s="21">
        <f t="shared" ref="AA3" si="24">DATE(2022,$P$1,COLUMN(Y:Y))</f>
        <v>44798</v>
      </c>
      <c r="AB3" s="21">
        <f t="shared" ref="AB3" si="25">DATE(2022,$P$1,COLUMN(Z:Z))</f>
        <v>44799</v>
      </c>
      <c r="AC3" s="21">
        <f t="shared" ref="AC3" si="26">DATE(2022,$P$1,COLUMN(AA:AA))</f>
        <v>44800</v>
      </c>
      <c r="AD3" s="21">
        <f t="shared" ref="AD3" si="27">DATE(2022,$P$1,COLUMN(AB:AB))</f>
        <v>44801</v>
      </c>
      <c r="AE3" s="21">
        <f t="shared" ref="AE3" si="28">DATE(2022,$P$1,COLUMN(AC:AC))</f>
        <v>44802</v>
      </c>
      <c r="AF3" s="21">
        <f t="shared" ref="AF3" si="29">DATE(2022,$P$1,COLUMN(AD:AD))</f>
        <v>44803</v>
      </c>
      <c r="AG3" s="21">
        <f t="shared" ref="AG3" si="30">DATE(2022,$P$1,COLUMN(AE:AE))</f>
        <v>44804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74" priority="1" operator="equal">
      <formula>"م"</formula>
    </cfRule>
    <cfRule type="cellIs" dxfId="73" priority="2" operator="equal">
      <formula>"ح"</formula>
    </cfRule>
    <cfRule type="cellIs" dxfId="72" priority="3" operator="equal">
      <formula>"غ"</formula>
    </cfRule>
    <cfRule type="cellIs" dxfId="71" priority="4" operator="equal">
      <formula>"م"</formula>
    </cfRule>
    <cfRule type="cellIs" dxfId="7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{0EE0FD9D-58A6-4AC3-951B-DDC5E3BE4EB2}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{A1FF6011-7FAC-46BF-AC89-A05EABD0DA53}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E0FD9D-58A6-4AC3-951B-DDC5E3BE4E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A1FF6011-7FAC-46BF-AC89-A05EABD0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30C07826-D99D-47F4-BB89-630E04E8E1F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499984740745262"/>
  </sheetPr>
  <dimension ref="A1:AK1048562"/>
  <sheetViews>
    <sheetView rightToLeft="1" zoomScaleNormal="100" workbookViewId="0">
      <selection activeCell="V17" sqref="V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108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44805</v>
      </c>
      <c r="D3" s="21">
        <f t="shared" si="0"/>
        <v>44806</v>
      </c>
      <c r="E3" s="23">
        <f t="shared" si="0"/>
        <v>44807</v>
      </c>
      <c r="F3" s="21">
        <f t="shared" si="0"/>
        <v>44808</v>
      </c>
      <c r="G3" s="21">
        <f t="shared" si="0"/>
        <v>44809</v>
      </c>
      <c r="H3" s="21">
        <f t="shared" si="0"/>
        <v>44810</v>
      </c>
      <c r="I3" s="21">
        <f t="shared" si="0"/>
        <v>44811</v>
      </c>
      <c r="J3" s="21">
        <f t="shared" si="0"/>
        <v>44812</v>
      </c>
      <c r="K3" s="21">
        <f t="shared" si="0"/>
        <v>44813</v>
      </c>
      <c r="L3" s="23">
        <f t="shared" si="0"/>
        <v>44814</v>
      </c>
      <c r="M3" s="21">
        <f t="shared" si="0"/>
        <v>44815</v>
      </c>
      <c r="N3" s="21">
        <f t="shared" si="0"/>
        <v>44816</v>
      </c>
      <c r="O3" s="21">
        <f t="shared" si="0"/>
        <v>44817</v>
      </c>
      <c r="P3" s="21">
        <f t="shared" si="0"/>
        <v>44818</v>
      </c>
      <c r="Q3" s="21">
        <f t="shared" si="0"/>
        <v>44819</v>
      </c>
      <c r="R3" s="21">
        <f t="shared" si="0"/>
        <v>44820</v>
      </c>
      <c r="S3" s="23">
        <f t="shared" si="0"/>
        <v>44821</v>
      </c>
      <c r="T3" s="21">
        <f t="shared" si="0"/>
        <v>44822</v>
      </c>
      <c r="U3" s="21">
        <f t="shared" si="0"/>
        <v>44823</v>
      </c>
      <c r="V3" s="21">
        <f t="shared" si="0"/>
        <v>44824</v>
      </c>
      <c r="W3" s="21">
        <f t="shared" si="0"/>
        <v>44825</v>
      </c>
      <c r="X3" s="21">
        <f t="shared" si="0"/>
        <v>44826</v>
      </c>
      <c r="Y3" s="21">
        <f t="shared" si="0"/>
        <v>44827</v>
      </c>
      <c r="Z3" s="23">
        <f t="shared" si="0"/>
        <v>44828</v>
      </c>
      <c r="AA3" s="21">
        <f t="shared" si="0"/>
        <v>44829</v>
      </c>
      <c r="AB3" s="21">
        <f t="shared" si="0"/>
        <v>44830</v>
      </c>
      <c r="AC3" s="21">
        <f t="shared" si="0"/>
        <v>44831</v>
      </c>
      <c r="AD3" s="21">
        <f t="shared" si="0"/>
        <v>44832</v>
      </c>
      <c r="AE3" s="21">
        <f t="shared" si="0"/>
        <v>44833</v>
      </c>
      <c r="AF3" s="21">
        <f t="shared" si="0"/>
        <v>44834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69" priority="1" operator="equal">
      <formula>"م"</formula>
    </cfRule>
    <cfRule type="cellIs" dxfId="68" priority="2" operator="equal">
      <formula>"ح"</formula>
    </cfRule>
    <cfRule type="cellIs" dxfId="67" priority="3" operator="equal">
      <formula>"غ"</formula>
    </cfRule>
    <cfRule type="cellIs" dxfId="66" priority="4" operator="equal">
      <formula>"م"</formula>
    </cfRule>
    <cfRule type="cellIs" dxfId="6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{0A8A11CC-FA65-4D67-B65D-1334A2CEF941}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{7962FF73-3C56-46DE-A26E-704FC6FE921F}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8A11CC-FA65-4D67-B65D-1334A2CEF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7962FF73-3C56-46DE-A26E-704FC6FE92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2799CE8D-12A3-45D5-90CF-4519CCC6812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L1048562"/>
  <sheetViews>
    <sheetView rightToLeft="1" zoomScaleNormal="100" workbookViewId="0">
      <selection activeCell="C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10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44835</v>
      </c>
      <c r="D3" s="21">
        <f t="shared" ref="D3" si="1">DATE(2022,$P$1,COLUMN(B:B))</f>
        <v>44836</v>
      </c>
      <c r="E3" s="21">
        <f t="shared" ref="E3" si="2">DATE(2022,$P$1,COLUMN(C:C))</f>
        <v>44837</v>
      </c>
      <c r="F3" s="21">
        <f t="shared" ref="F3" si="3">DATE(2022,$P$1,COLUMN(D:D))</f>
        <v>44838</v>
      </c>
      <c r="G3" s="21">
        <f t="shared" ref="G3" si="4">DATE(2022,$P$1,COLUMN(E:E))</f>
        <v>44839</v>
      </c>
      <c r="H3" s="21">
        <f t="shared" ref="H3" si="5">DATE(2022,$P$1,COLUMN(F:F))</f>
        <v>44840</v>
      </c>
      <c r="I3" s="21">
        <f t="shared" ref="I3" si="6">DATE(2022,$P$1,COLUMN(G:G))</f>
        <v>44841</v>
      </c>
      <c r="J3" s="21">
        <f t="shared" ref="J3" si="7">DATE(2022,$P$1,COLUMN(H:H))</f>
        <v>44842</v>
      </c>
      <c r="K3" s="21">
        <f t="shared" ref="K3" si="8">DATE(2022,$P$1,COLUMN(I:I))</f>
        <v>44843</v>
      </c>
      <c r="L3" s="21">
        <f t="shared" ref="L3" si="9">DATE(2022,$P$1,COLUMN(J:J))</f>
        <v>44844</v>
      </c>
      <c r="M3" s="21">
        <f t="shared" ref="M3" si="10">DATE(2022,$P$1,COLUMN(K:K))</f>
        <v>44845</v>
      </c>
      <c r="N3" s="21">
        <f t="shared" ref="N3" si="11">DATE(2022,$P$1,COLUMN(L:L))</f>
        <v>44846</v>
      </c>
      <c r="O3" s="21">
        <f t="shared" ref="O3" si="12">DATE(2022,$P$1,COLUMN(M:M))</f>
        <v>44847</v>
      </c>
      <c r="P3" s="21">
        <f t="shared" ref="P3" si="13">DATE(2022,$P$1,COLUMN(N:N))</f>
        <v>44848</v>
      </c>
      <c r="Q3" s="21">
        <f t="shared" ref="Q3" si="14">DATE(2022,$P$1,COLUMN(O:O))</f>
        <v>44849</v>
      </c>
      <c r="R3" s="21">
        <f t="shared" ref="R3" si="15">DATE(2022,$P$1,COLUMN(P:P))</f>
        <v>44850</v>
      </c>
      <c r="S3" s="21">
        <f t="shared" ref="S3" si="16">DATE(2022,$P$1,COLUMN(Q:Q))</f>
        <v>44851</v>
      </c>
      <c r="T3" s="21">
        <f t="shared" ref="T3" si="17">DATE(2022,$P$1,COLUMN(R:R))</f>
        <v>44852</v>
      </c>
      <c r="U3" s="21">
        <f t="shared" ref="U3" si="18">DATE(2022,$P$1,COLUMN(S:S))</f>
        <v>44853</v>
      </c>
      <c r="V3" s="21">
        <f t="shared" ref="V3" si="19">DATE(2022,$P$1,COLUMN(T:T))</f>
        <v>44854</v>
      </c>
      <c r="W3" s="21">
        <f t="shared" ref="W3" si="20">DATE(2022,$P$1,COLUMN(U:U))</f>
        <v>44855</v>
      </c>
      <c r="X3" s="21">
        <f t="shared" ref="X3" si="21">DATE(2022,$P$1,COLUMN(V:V))</f>
        <v>44856</v>
      </c>
      <c r="Y3" s="21">
        <f t="shared" ref="Y3" si="22">DATE(2022,$P$1,COLUMN(W:W))</f>
        <v>44857</v>
      </c>
      <c r="Z3" s="21">
        <f t="shared" ref="Z3" si="23">DATE(2022,$P$1,COLUMN(X:X))</f>
        <v>44858</v>
      </c>
      <c r="AA3" s="21">
        <f t="shared" ref="AA3" si="24">DATE(2022,$P$1,COLUMN(Y:Y))</f>
        <v>44859</v>
      </c>
      <c r="AB3" s="21">
        <f t="shared" ref="AB3" si="25">DATE(2022,$P$1,COLUMN(Z:Z))</f>
        <v>44860</v>
      </c>
      <c r="AC3" s="21">
        <f t="shared" ref="AC3" si="26">DATE(2022,$P$1,COLUMN(AA:AA))</f>
        <v>44861</v>
      </c>
      <c r="AD3" s="21">
        <f t="shared" ref="AD3" si="27">DATE(2022,$P$1,COLUMN(AB:AB))</f>
        <v>44862</v>
      </c>
      <c r="AE3" s="21">
        <f t="shared" ref="AE3" si="28">DATE(2022,$P$1,COLUMN(AC:AC))</f>
        <v>44863</v>
      </c>
      <c r="AF3" s="21">
        <f t="shared" ref="AF3" si="29">DATE(2022,$P$1,COLUMN(AD:AD))</f>
        <v>44864</v>
      </c>
      <c r="AG3" s="21">
        <f t="shared" ref="AG3" si="30">DATE(2022,$P$1,COLUMN(AE:AE))</f>
        <v>44865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64" priority="1" operator="equal">
      <formula>"م"</formula>
    </cfRule>
    <cfRule type="cellIs" dxfId="63" priority="2" operator="equal">
      <formula>"ح"</formula>
    </cfRule>
    <cfRule type="cellIs" dxfId="62" priority="3" operator="equal">
      <formula>"غ"</formula>
    </cfRule>
    <cfRule type="cellIs" dxfId="61" priority="4" operator="equal">
      <formula>"م"</formula>
    </cfRule>
    <cfRule type="cellIs" dxfId="6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{D594CDB3-DDCA-496C-9298-0B8FB42DE2D5}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{E4CD373A-D8B4-42A3-938B-E43728B9F1B6}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94CDB3-DDCA-496C-9298-0B8FB42DE2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E4CD373A-D8B4-42A3-938B-E43728B9F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237E5FA5-487F-423A-B2F3-FE4A83FC9FD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109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44866</v>
      </c>
      <c r="D3" s="21">
        <f t="shared" si="0"/>
        <v>44867</v>
      </c>
      <c r="E3" s="23">
        <f t="shared" si="0"/>
        <v>44868</v>
      </c>
      <c r="F3" s="21">
        <f t="shared" si="0"/>
        <v>44869</v>
      </c>
      <c r="G3" s="21">
        <f t="shared" si="0"/>
        <v>44870</v>
      </c>
      <c r="H3" s="21">
        <f t="shared" si="0"/>
        <v>44871</v>
      </c>
      <c r="I3" s="21">
        <f t="shared" si="0"/>
        <v>44872</v>
      </c>
      <c r="J3" s="21">
        <f t="shared" si="0"/>
        <v>44873</v>
      </c>
      <c r="K3" s="21">
        <f t="shared" si="0"/>
        <v>44874</v>
      </c>
      <c r="L3" s="23">
        <f t="shared" si="0"/>
        <v>44875</v>
      </c>
      <c r="M3" s="21">
        <f t="shared" si="0"/>
        <v>44876</v>
      </c>
      <c r="N3" s="21">
        <f t="shared" si="0"/>
        <v>44877</v>
      </c>
      <c r="O3" s="21">
        <f t="shared" si="0"/>
        <v>44878</v>
      </c>
      <c r="P3" s="21">
        <f t="shared" si="0"/>
        <v>44879</v>
      </c>
      <c r="Q3" s="21">
        <f t="shared" si="0"/>
        <v>44880</v>
      </c>
      <c r="R3" s="21">
        <f t="shared" si="0"/>
        <v>44881</v>
      </c>
      <c r="S3" s="23">
        <f t="shared" si="0"/>
        <v>44882</v>
      </c>
      <c r="T3" s="21">
        <f t="shared" si="0"/>
        <v>44883</v>
      </c>
      <c r="U3" s="21">
        <f t="shared" si="0"/>
        <v>44884</v>
      </c>
      <c r="V3" s="21">
        <f t="shared" si="0"/>
        <v>44885</v>
      </c>
      <c r="W3" s="21">
        <f t="shared" si="0"/>
        <v>44886</v>
      </c>
      <c r="X3" s="21">
        <f t="shared" si="0"/>
        <v>44887</v>
      </c>
      <c r="Y3" s="21">
        <f t="shared" si="0"/>
        <v>44888</v>
      </c>
      <c r="Z3" s="23">
        <f t="shared" si="0"/>
        <v>44889</v>
      </c>
      <c r="AA3" s="21">
        <f t="shared" si="0"/>
        <v>44890</v>
      </c>
      <c r="AB3" s="21">
        <f t="shared" si="0"/>
        <v>44891</v>
      </c>
      <c r="AC3" s="21">
        <f t="shared" si="0"/>
        <v>44892</v>
      </c>
      <c r="AD3" s="21">
        <f t="shared" si="0"/>
        <v>44893</v>
      </c>
      <c r="AE3" s="21">
        <f t="shared" si="0"/>
        <v>44894</v>
      </c>
      <c r="AF3" s="21">
        <f t="shared" si="0"/>
        <v>44895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59" priority="1" operator="equal">
      <formula>"م"</formula>
    </cfRule>
    <cfRule type="cellIs" dxfId="58" priority="2" operator="equal">
      <formula>"ح"</formula>
    </cfRule>
    <cfRule type="cellIs" dxfId="57" priority="3" operator="equal">
      <formula>"غ"</formula>
    </cfRule>
    <cfRule type="cellIs" dxfId="56" priority="4" operator="equal">
      <formula>"م"</formula>
    </cfRule>
    <cfRule type="cellIs" dxfId="55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{D459928F-B295-4284-9853-201602E684F0}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{A894348A-F4D3-4B6B-9EE6-6B0802359B67}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59928F-B295-4284-9853-201602E684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A894348A-F4D3-4B6B-9EE6-6B0802359B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C060BB62-060A-4218-BB5D-B26D62B1D8B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499984740745262"/>
  </sheetPr>
  <dimension ref="A1:AL1048562"/>
  <sheetViews>
    <sheetView rightToLeft="1" topLeftCell="AU1" zoomScaleNormal="100" workbookViewId="0">
      <selection activeCell="BU24" sqref="BU2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110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44896</v>
      </c>
      <c r="D3" s="21">
        <f t="shared" ref="D3" si="1">DATE(2022,$P$1,COLUMN(B:B))</f>
        <v>44897</v>
      </c>
      <c r="E3" s="21">
        <f t="shared" ref="E3" si="2">DATE(2022,$P$1,COLUMN(C:C))</f>
        <v>44898</v>
      </c>
      <c r="F3" s="21">
        <f t="shared" ref="F3" si="3">DATE(2022,$P$1,COLUMN(D:D))</f>
        <v>44899</v>
      </c>
      <c r="G3" s="21">
        <f t="shared" ref="G3" si="4">DATE(2022,$P$1,COLUMN(E:E))</f>
        <v>44900</v>
      </c>
      <c r="H3" s="21">
        <f t="shared" ref="H3" si="5">DATE(2022,$P$1,COLUMN(F:F))</f>
        <v>44901</v>
      </c>
      <c r="I3" s="21">
        <f t="shared" ref="I3" si="6">DATE(2022,$P$1,COLUMN(G:G))</f>
        <v>44902</v>
      </c>
      <c r="J3" s="21">
        <f t="shared" ref="J3" si="7">DATE(2022,$P$1,COLUMN(H:H))</f>
        <v>44903</v>
      </c>
      <c r="K3" s="21">
        <f t="shared" ref="K3" si="8">DATE(2022,$P$1,COLUMN(I:I))</f>
        <v>44904</v>
      </c>
      <c r="L3" s="21">
        <f t="shared" ref="L3" si="9">DATE(2022,$P$1,COLUMN(J:J))</f>
        <v>44905</v>
      </c>
      <c r="M3" s="21">
        <f t="shared" ref="M3" si="10">DATE(2022,$P$1,COLUMN(K:K))</f>
        <v>44906</v>
      </c>
      <c r="N3" s="21">
        <f t="shared" ref="N3" si="11">DATE(2022,$P$1,COLUMN(L:L))</f>
        <v>44907</v>
      </c>
      <c r="O3" s="21">
        <f t="shared" ref="O3" si="12">DATE(2022,$P$1,COLUMN(M:M))</f>
        <v>44908</v>
      </c>
      <c r="P3" s="21">
        <f t="shared" ref="P3" si="13">DATE(2022,$P$1,COLUMN(N:N))</f>
        <v>44909</v>
      </c>
      <c r="Q3" s="21">
        <f t="shared" ref="Q3" si="14">DATE(2022,$P$1,COLUMN(O:O))</f>
        <v>44910</v>
      </c>
      <c r="R3" s="21">
        <f t="shared" ref="R3" si="15">DATE(2022,$P$1,COLUMN(P:P))</f>
        <v>44911</v>
      </c>
      <c r="S3" s="21">
        <f t="shared" ref="S3" si="16">DATE(2022,$P$1,COLUMN(Q:Q))</f>
        <v>44912</v>
      </c>
      <c r="T3" s="21">
        <f t="shared" ref="T3" si="17">DATE(2022,$P$1,COLUMN(R:R))</f>
        <v>44913</v>
      </c>
      <c r="U3" s="21">
        <f t="shared" ref="U3" si="18">DATE(2022,$P$1,COLUMN(S:S))</f>
        <v>44914</v>
      </c>
      <c r="V3" s="21">
        <f t="shared" ref="V3" si="19">DATE(2022,$P$1,COLUMN(T:T))</f>
        <v>44915</v>
      </c>
      <c r="W3" s="21">
        <f t="shared" ref="W3" si="20">DATE(2022,$P$1,COLUMN(U:U))</f>
        <v>44916</v>
      </c>
      <c r="X3" s="21">
        <f t="shared" ref="X3" si="21">DATE(2022,$P$1,COLUMN(V:V))</f>
        <v>44917</v>
      </c>
      <c r="Y3" s="21">
        <f t="shared" ref="Y3" si="22">DATE(2022,$P$1,COLUMN(W:W))</f>
        <v>44918</v>
      </c>
      <c r="Z3" s="21">
        <f t="shared" ref="Z3" si="23">DATE(2022,$P$1,COLUMN(X:X))</f>
        <v>44919</v>
      </c>
      <c r="AA3" s="21">
        <f t="shared" ref="AA3" si="24">DATE(2022,$P$1,COLUMN(Y:Y))</f>
        <v>44920</v>
      </c>
      <c r="AB3" s="21">
        <f t="shared" ref="AB3" si="25">DATE(2022,$P$1,COLUMN(Z:Z))</f>
        <v>44921</v>
      </c>
      <c r="AC3" s="21">
        <f t="shared" ref="AC3" si="26">DATE(2022,$P$1,COLUMN(AA:AA))</f>
        <v>44922</v>
      </c>
      <c r="AD3" s="21">
        <f t="shared" ref="AD3" si="27">DATE(2022,$P$1,COLUMN(AB:AB))</f>
        <v>44923</v>
      </c>
      <c r="AE3" s="21">
        <f t="shared" ref="AE3" si="28">DATE(2022,$P$1,COLUMN(AC:AC))</f>
        <v>44924</v>
      </c>
      <c r="AF3" s="21">
        <f t="shared" ref="AF3" si="29">DATE(2022,$P$1,COLUMN(AD:AD))</f>
        <v>44925</v>
      </c>
      <c r="AG3" s="21">
        <f t="shared" ref="AG3" si="30">DATE(2022,$P$1,COLUMN(AE:AE))</f>
        <v>44926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54" priority="1" operator="equal">
      <formula>"م"</formula>
    </cfRule>
    <cfRule type="cellIs" dxfId="53" priority="2" operator="equal">
      <formula>"ح"</formula>
    </cfRule>
    <cfRule type="cellIs" dxfId="52" priority="3" operator="equal">
      <formula>"غ"</formula>
    </cfRule>
    <cfRule type="cellIs" dxfId="51" priority="4" operator="equal">
      <formula>"م"</formula>
    </cfRule>
    <cfRule type="cellIs" dxfId="50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{CE150456-CF0F-4B1F-873E-197FDACAB755}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{5618773A-B634-4D7F-98FA-F426EA673A1A}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150456-CF0F-4B1F-873E-197FDACAB7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5618773A-B634-4D7F-98FA-F426EA673A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037D4E34-BBF6-4747-8A03-38F6554221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12</vt:i4>
      </vt:variant>
      <vt:variant>
        <vt:lpstr>النطاقات المسماة</vt:lpstr>
      </vt:variant>
      <vt:variant>
        <vt:i4>1</vt:i4>
      </vt:variant>
    </vt:vector>
  </HeadingPairs>
  <TitlesOfParts>
    <vt:vector size="13" baseType="lpstr">
      <vt:lpstr>الشهر 1</vt:lpstr>
      <vt:lpstr>الشهر 2</vt:lpstr>
      <vt:lpstr>الشهر 3</vt:lpstr>
      <vt:lpstr>الشهر 4</vt:lpstr>
      <vt:lpstr>الشهر 5</vt:lpstr>
      <vt:lpstr>الشهر 6</vt:lpstr>
      <vt:lpstr>الشهر 7</vt:lpstr>
      <vt:lpstr>الشهر 8</vt:lpstr>
      <vt:lpstr>الشهر 9</vt:lpstr>
      <vt:lpstr>الشهر 10</vt:lpstr>
      <vt:lpstr>الشهر 11</vt:lpstr>
      <vt:lpstr>الشهر 12</vt:lpstr>
      <vt:lpstr>'الشهر 6'!Print_Titles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Maher</cp:lastModifiedBy>
  <cp:lastPrinted>2022-07-07T08:03:59Z</cp:lastPrinted>
  <dcterms:created xsi:type="dcterms:W3CDTF">2006-09-16T00:00:00Z</dcterms:created>
  <dcterms:modified xsi:type="dcterms:W3CDTF">2022-07-14T11:57:31Z</dcterms:modified>
</cp:coreProperties>
</file>